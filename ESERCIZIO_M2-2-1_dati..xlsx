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9"/>
  <workbookPr/>
  <mc:AlternateContent xmlns:mc="http://schemas.openxmlformats.org/markup-compatibility/2006">
    <mc:Choice Requires="x15">
      <x15ac:absPath xmlns:x15ac="http://schemas.microsoft.com/office/spreadsheetml/2010/11/ac" url="C:\Users\ffanc\Desktop\Github\"/>
    </mc:Choice>
  </mc:AlternateContent>
  <xr:revisionPtr revIDLastSave="0" documentId="13_ncr:1_{FCBB277C-C3A2-4744-8A60-58DDF484C8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otti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<sst xmlns="http://schemas.openxmlformats.org/spreadsheetml/2006/main" count="45" uniqueCount="22">
  <si>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</si>
  <si>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</si>
  <si>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</si>
  <si>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</si>
  <si>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</si>
  <si>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</si>
  <si>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</si>
  <si>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</si>
  <si>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</si>
  <si>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</si>
  <si>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</si>
  <si>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</si>
  <si>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</si>
  <si>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</si>
  <si>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</si>
  <si>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</si>
  <si>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</si>
  <si>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</si>
  <si>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</si>
  <si>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Somma di Totale</t>
  </si>
  <si>
    <t>Etichette di riga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</si>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</sst>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44" fontId="2" fillId="0" borderId="0" xfId="1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e" xfId="0" builtinId="0"/>
    <cellStyle name="Valuta" xfId="1" builtinId="4"/>
  </cellStyles>
  <dxfs count="7"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[ESERCIZIO_M2-2-1_dati.xlsx]Prodotti!Tabella pivot10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Spesa</a:t>
            </a:r>
            <a:r>
              <a:rPr lang="en-US" baseline="0"/>
              <a:t> totale aziende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Prodotti!$J$3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Prodotti!$I$4:$I$8</c:f>
              <c:strCache>
                <c:ptCount val="4"/>
                <c:pt idx="0">
                  <c:v>AquaLux Dynamics</c:v>
                </c:pt>
                <c:pt idx="1">
                  <c:v>EcoVibe Solutions</c:v>
                </c:pt>
                <c:pt idx="2">
                  <c:v>SolarTech Solutions</c:v>
                </c:pt>
                <c:pt idx="3">
                  <c:v>Tech Innovations Ltd.</c:v>
                </c:pt>
              </c:strCache>
            </c:strRef>
          </c:cat>
          <c:val>
            <c:numRef>
              <c:f>Prodotti!$J$4:$J$8</c:f>
              <c:numCache>
                <c:formatCode>_("€"* #,##0.00_);_("€"* \(#,##0.00\);_("€"* "-"??_);_(@_)</c:formatCode>
                <c:ptCount val="4"/>
                <c:pt idx="0">
                  <c:v>37725</c:v>
                </c:pt>
                <c:pt idx="1">
                  <c:v>13500</c:v>
                </c:pt>
                <c:pt idx="2">
                  <c:v>31100</c:v>
                </c:pt>
                <c:pt idx="3">
                  <c:v>25575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5-44E0-BBD2-655FDA8B0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358720"/>
        <c:axId val="2018354880"/>
      </c:barChart>
      <c:catAx>
        <c:axId val="201835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8354880"/>
        <c:crosses val="autoZero"/>
        <c:auto val="1"/>
        <c:lblAlgn val="ctr"/>
        <c:lblOffset val="100"/>
        <c:noMultiLvlLbl val="0"/>
      </c:catAx>
      <c:valAx>
        <c:axId val="20183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835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[ESERCIZIO_M2-2-1_dati.xlsx]Prodotti!Tabella pivot10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Percentuale spesa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Prodotti!$J$3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54-46B2-A7F2-F6EE3D4E94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54-46B2-A7F2-F6EE3D4E94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54-46B2-A7F2-F6EE3D4E94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54-46B2-A7F2-F6EE3D4E94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Prodotti!$I$4:$I$8</c:f>
              <c:strCache>
                <c:ptCount val="4"/>
                <c:pt idx="0">
                  <c:v>AquaLux Dynamics</c:v>
                </c:pt>
                <c:pt idx="1">
                  <c:v>EcoVibe Solutions</c:v>
                </c:pt>
                <c:pt idx="2">
                  <c:v>SolarTech Solutions</c:v>
                </c:pt>
                <c:pt idx="3">
                  <c:v>Tech Innovations Ltd.</c:v>
                </c:pt>
              </c:strCache>
            </c:strRef>
          </c:cat>
          <c:val>
            <c:numRef>
              <c:f>Prodotti!$J$4:$J$8</c:f>
              <c:numCache>
                <c:formatCode>_("€"* #,##0.00_);_("€"* \(#,##0.00\);_("€"* "-"??_);_(@_)</c:formatCode>
                <c:ptCount val="4"/>
                <c:pt idx="0">
                  <c:v>37725</c:v>
                </c:pt>
                <c:pt idx="1">
                  <c:v>13500</c:v>
                </c:pt>
                <c:pt idx="2">
                  <c:v>31100</c:v>
                </c:pt>
                <c:pt idx="3">
                  <c:v>25575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3B-4CE1-B960-11EDDC439CF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landscape" horizontalDpi="300" verticalDpi="30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[ESERCIZIO_M2-2-1_dati.xlsx]Prodotti!Tabella pivot11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Importo totale</a:t>
            </a:r>
            <a:r>
              <a:rPr lang="en-US" baseline="0"/>
              <a:t> spesa prodotti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Prodotti!$P$3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Prodotti!$O$4:$O$14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Prodotti!$P$4:$P$14</c:f>
              <c:numCache>
                <c:formatCode>_("€"* #,##0.00_);_("€"* \(#,##0.00\);_("€"* "-"??_);_(@_)</c:formatCode>
                <c:ptCount val="10"/>
                <c:pt idx="0">
                  <c:v>12600</c:v>
                </c:pt>
                <c:pt idx="1">
                  <c:v>10200</c:v>
                </c:pt>
                <c:pt idx="2">
                  <c:v>13125</c:v>
                </c:pt>
                <c:pt idx="3">
                  <c:v>9750</c:v>
                </c:pt>
                <c:pt idx="4">
                  <c:v>11550</c:v>
                </c:pt>
                <c:pt idx="5">
                  <c:v>9800</c:v>
                </c:pt>
                <c:pt idx="6">
                  <c:v>12000</c:v>
                </c:pt>
                <c:pt idx="7">
                  <c:v>7500</c:v>
                </c:pt>
                <c:pt idx="8">
                  <c:v>7875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1-4236-B049-FEE904A91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374560"/>
        <c:axId val="2018380800"/>
      </c:barChart>
      <c:catAx>
        <c:axId val="201837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8380800"/>
        <c:crosses val="autoZero"/>
        <c:auto val="1"/>
        <c:lblAlgn val="ctr"/>
        <c:lblOffset val="100"/>
        <c:noMultiLvlLbl val="0"/>
      </c:catAx>
      <c:valAx>
        <c:axId val="20183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1837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[ESERCIZIO_M2-2-1_dati.xlsx]Prodotti!Tabella pivot11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Percentuale</a:t>
            </a:r>
            <a:r>
              <a:rPr lang="en-US" baseline="0"/>
              <a:t> spesa prodotti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Prodotti!$P$3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B9-4E9C-B146-3C5E1162A8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B9-4E9C-B146-3C5E1162A8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B9-4E9C-B146-3C5E1162A8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B9-4E9C-B146-3C5E1162A8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B9-4E9C-B146-3C5E1162A86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7B9-4E9C-B146-3C5E1162A86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B9-4E9C-B146-3C5E1162A8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B9-4E9C-B146-3C5E1162A86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B9-4E9C-B146-3C5E1162A86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7B9-4E9C-B146-3C5E1162A8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Prodotti!$O$4:$O$14</c:f>
              <c:strCache>
                <c:ptCount val="10"/>
                <c:pt idx="0">
                  <c:v>Acqua</c:v>
                </c:pt>
                <c:pt idx="1">
                  <c:v>Cibo</c:v>
                </c:pt>
                <c:pt idx="2">
                  <c:v>Crema</c:v>
                </c:pt>
                <c:pt idx="3">
                  <c:v>Infinito</c:v>
                </c:pt>
                <c:pt idx="4">
                  <c:v>Orizzonte</c:v>
                </c:pt>
                <c:pt idx="5">
                  <c:v>Pannelli</c:v>
                </c:pt>
                <c:pt idx="6">
                  <c:v>Pianeta</c:v>
                </c:pt>
                <c:pt idx="7">
                  <c:v>Quanti</c:v>
                </c:pt>
                <c:pt idx="8">
                  <c:v>Tecnologia</c:v>
                </c:pt>
                <c:pt idx="9">
                  <c:v>Vibrazione</c:v>
                </c:pt>
              </c:strCache>
            </c:strRef>
          </c:cat>
          <c:val>
            <c:numRef>
              <c:f>Prodotti!$P$4:$P$14</c:f>
              <c:numCache>
                <c:formatCode>_("€"* #,##0.00_);_("€"* \(#,##0.00\);_("€"* "-"??_);_(@_)</c:formatCode>
                <c:ptCount val="10"/>
                <c:pt idx="0">
                  <c:v>12600</c:v>
                </c:pt>
                <c:pt idx="1">
                  <c:v>10200</c:v>
                </c:pt>
                <c:pt idx="2">
                  <c:v>13125</c:v>
                </c:pt>
                <c:pt idx="3">
                  <c:v>9750</c:v>
                </c:pt>
                <c:pt idx="4">
                  <c:v>11550</c:v>
                </c:pt>
                <c:pt idx="5">
                  <c:v>9800</c:v>
                </c:pt>
                <c:pt idx="6">
                  <c:v>12000</c:v>
                </c:pt>
                <c:pt idx="7">
                  <c:v>7500</c:v>
                </c:pt>
                <c:pt idx="8">
                  <c:v>7875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7-4C10-B6FD-286649D3C2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638175</xdr:colOff>
      <xdr:row>10</xdr:row>
      <xdr:rowOff>14287</xdr:rowOff>
    </xdr:from>
    <xdr:to>
      <xdr:col>12</xdr:col>
      <xdr:colOff>333375</xdr:colOff>
      <xdr:row>23</xdr:row>
      <xdr:rowOff>195262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56C3991-D290-01FB-5A79-DE4435CDF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638175</xdr:colOff>
      <xdr:row>25</xdr:row>
      <xdr:rowOff>14287</xdr:rowOff>
    </xdr:from>
    <xdr:to>
      <xdr:col>12</xdr:col>
      <xdr:colOff>333375</xdr:colOff>
      <xdr:row>38</xdr:row>
      <xdr:rowOff>157162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1D10650C-A53A-340A-6851-AB625A246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15</xdr:row>
      <xdr:rowOff>4762</xdr:rowOff>
    </xdr:from>
    <xdr:to>
      <xdr:col>18</xdr:col>
      <xdr:colOff>276225</xdr:colOff>
      <xdr:row>28</xdr:row>
      <xdr:rowOff>147637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DE49C40-2384-7113-2621-54DAC06D50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581025</xdr:colOff>
      <xdr:row>29</xdr:row>
      <xdr:rowOff>52387</xdr:rowOff>
    </xdr:from>
    <xdr:to>
      <xdr:col>18</xdr:col>
      <xdr:colOff>314325</xdr:colOff>
      <xdr:row>42</xdr:row>
      <xdr:rowOff>195262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DE0824E-6D7F-9A5A-35E3-E119B5345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esco Fancello" refreshedDate="46125.959990740739" createdVersion="8" refreshedVersion="8" minRefreshableVersion="3" recordCount="10" xr:uid="{0EEA14B4-1954-4BBC-B98F-DEA5384AB408}">
  <cacheSource type="worksheet">
    <worksheetSource name="Tabella1"/>
  </cacheSource>
  <cacheFields count="5">
    <cacheField name="Azienda" numFmtId="0">
      <sharedItems count="4">
        <s v="Tech Innovations Ltd."/>
        <s v="SolarTech Solutions"/>
        <s v="AquaLux Dynamics"/>
        <s v="EcoVibe Solutions"/>
      </sharedItems>
    </cacheField>
    <cacheField name="Prodotto" numFmtId="0">
      <sharedItems count="10">
        <s v="Tecnologia"/>
        <s v="Cibo"/>
        <s v="Pannelli"/>
        <s v="Quanti"/>
        <s v="Infinito"/>
        <s v="Crema"/>
        <s v="Acqua"/>
        <s v="Orizzonte"/>
        <s v="Pianeta"/>
        <s v="Vibrazione"/>
      </sharedItems>
    </cacheField>
    <cacheField name="Quantità" numFmtId="0">
      <sharedItems containsSemiMixedTypes="0" containsString="0" containsNumber="1" containsInteger="1" minValue="300" maxValue="1500"/>
    </cacheField>
    <cacheField name="Prezzo" numFmtId="44">
      <sharedItems containsSemiMixedTypes="0" containsString="0" containsNumber="1" minValue="6.5" maxValue="25"/>
    </cacheField>
    <cacheField name="Totale" numFmtId="44">
      <sharedItems containsSemiMixedTypes="0" containsString="0" containsNumber="1" containsInteger="1" minValue="750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500"/>
    <n v="15.75"/>
    <n v="7875"/>
  </r>
  <r>
    <x v="0"/>
    <x v="1"/>
    <n v="1200"/>
    <n v="8.5"/>
    <n v="10200"/>
  </r>
  <r>
    <x v="1"/>
    <x v="2"/>
    <n v="800"/>
    <n v="12.25"/>
    <n v="9800"/>
  </r>
  <r>
    <x v="0"/>
    <x v="3"/>
    <n v="300"/>
    <n v="25"/>
    <n v="7500"/>
  </r>
  <r>
    <x v="1"/>
    <x v="4"/>
    <n v="1500"/>
    <n v="6.5"/>
    <n v="9750"/>
  </r>
  <r>
    <x v="2"/>
    <x v="5"/>
    <n v="700"/>
    <n v="18.75"/>
    <n v="13125"/>
  </r>
  <r>
    <x v="2"/>
    <x v="6"/>
    <n v="900"/>
    <n v="14"/>
    <n v="12600"/>
  </r>
  <r>
    <x v="1"/>
    <x v="7"/>
    <n v="1100"/>
    <n v="10.5"/>
    <n v="11550"/>
  </r>
  <r>
    <x v="2"/>
    <x v="8"/>
    <n v="600"/>
    <n v="20"/>
    <n v="12000"/>
  </r>
  <r>
    <x v="3"/>
    <x v="9"/>
    <n v="1000"/>
    <n v="13.5"/>
    <n v="13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BBB34-8558-4D2E-990D-69ACCBD0322B}" name="Tabella pivot1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O3:P14" firstHeaderRow="1" firstDataRow="1" firstDataCol="1"/>
  <pivotFields count="5">
    <pivotField showAll="0"/>
    <pivotField axis="axisRow" showAll="0">
      <items count="11">
        <item x="6"/>
        <item x="1"/>
        <item x="5"/>
        <item x="4"/>
        <item x="7"/>
        <item x="2"/>
        <item x="8"/>
        <item x="3"/>
        <item x="0"/>
        <item x="9"/>
        <item t="default"/>
      </items>
    </pivotField>
    <pivotField showAll="0"/>
    <pivotField numFmtId="44" showAll="0"/>
    <pivotField dataField="1" numFmtId="44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ma di Totale" fld="4" baseField="0" baseItem="0" numFmtId="4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47B67-2970-4D47-9F6B-EF06F1D85BFE}" name="Tabella pivot10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I3:J8" firstHeaderRow="1" firstDataRow="1" firstDataCol="1"/>
  <pivotFields count="5"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numFmtId="44" showAll="0"/>
    <pivotField dataField="1" numFmtId="4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a di Totale" fld="4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FBADFA-6333-4CAE-B908-AC33D534D0C5}" name="Tabella1" displayName="Tabella1" ref="A1:E11" totalsRowShown="0" headerRowDxfId="6" dataDxfId="5">
  <autoFilter ref="A1:E11" xr:uid="{12FBADFA-6333-4CAE-B908-AC33D534D0C5}"/>
  <tableColumns count="5">
    <tableColumn id="1" xr3:uid="{2B26F669-D99D-4D82-AB16-419ABB989DC3}" name="Azienda" dataDxfId="4"/>
    <tableColumn id="2" xr3:uid="{C86B90E8-4AA5-45AD-9764-CCAA9F1497D1}" name="Prodotto" dataDxfId="3"/>
    <tableColumn id="3" xr3:uid="{1F189012-3952-49F9-BF17-2313F224E19C}" name="Quantità" dataDxfId="2"/>
    <tableColumn id="4" xr3:uid="{86F9DA9E-4B31-4707-85F7-CC3AD9C86EB5}" name="Prezzo" dataDxfId="1" dataCellStyle="Valuta"/>
    <tableColumn id="5" xr3:uid="{36BF72BB-46C3-4E79-A2C3-E01E0FAA8E8B}" name="Totale" dataDxfId="0">
      <calculatedColumnFormula>C2*D2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"/>
  <sheetViews>
    <sheetView tabSelected="1" view="pageLayout" zoomScaleNormal="100" workbookViewId="0">
      <selection activeCell="L3" sqref="L3"/>
    </sheetView>
  </sheetViews>
  <sheetFormatPr defaultColWidth="12.5703125" defaultRowHeight="15.75" customHeight="1" x14ac:dyDescent="0.2"/>
  <cols>
    <col min="1" max="1" width="18.7109375" bestFit="1" customWidth="1"/>
    <col min="2" max="2" width="12" customWidth="1"/>
    <col min="3" max="3" width="11.7109375" customWidth="1"/>
    <col min="4" max="4" width="10.28515625" customWidth="1"/>
    <col min="5" max="5" width="11.85546875" bestFit="1" customWidth="1"/>
    <col min="9" max="9" width="18.7109375" bestFit="1" customWidth="1"/>
    <col min="10" max="10" width="16.7109375" bestFit="1" customWidth="1"/>
    <col min="15" max="15" width="18.7109375" bestFit="1" customWidth="1"/>
    <col min="16" max="16" width="16.7109375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" t="s">
        <v>5</v>
      </c>
      <c r="B2" s="2" t="s">
        <v>6</v>
      </c>
      <c r="C2" s="2">
        <v>500</v>
      </c>
      <c r="D2" s="3">
        <v>15.75</v>
      </c>
      <c r="E2" s="4">
        <f>C2*D2</f>
        <v>7875</v>
      </c>
    </row>
    <row r="3" spans="1:26" ht="12.75" x14ac:dyDescent="0.2">
      <c r="A3" s="2" t="s">
        <v>5</v>
      </c>
      <c r="B3" s="2" t="s">
        <v>7</v>
      </c>
      <c r="C3" s="2">
        <v>1200</v>
      </c>
      <c r="D3" s="3">
        <v>8.5</v>
      </c>
      <c r="E3" s="4">
        <f t="shared" ref="E3:E11" si="0">C3*D3</f>
        <v>10200</v>
      </c>
      <c r="I3" s="5" t="s">
        <v>20</v>
      </c>
      <c r="J3" t="s">
        <v>19</v>
      </c>
      <c r="O3" s="5" t="s">
        <v>20</v>
      </c>
      <c r="P3" t="s">
        <v>19</v>
      </c>
    </row>
    <row r="4" spans="1:26" ht="12.75" x14ac:dyDescent="0.2">
      <c r="A4" s="2" t="s">
        <v>8</v>
      </c>
      <c r="B4" s="2" t="s">
        <v>9</v>
      </c>
      <c r="C4" s="2">
        <v>800</v>
      </c>
      <c r="D4" s="3">
        <v>12.25</v>
      </c>
      <c r="E4" s="4">
        <f t="shared" si="0"/>
        <v>9800</v>
      </c>
      <c r="I4" s="6" t="s">
        <v>12</v>
      </c>
      <c r="J4" s="4">
        <v>37725</v>
      </c>
      <c r="O4" s="6" t="s">
        <v>14</v>
      </c>
      <c r="P4" s="4">
        <v>12600</v>
      </c>
    </row>
    <row r="5" spans="1:26" ht="12.75" x14ac:dyDescent="0.2">
      <c r="A5" s="2" t="s">
        <v>5</v>
      </c>
      <c r="B5" s="2" t="s">
        <v>10</v>
      </c>
      <c r="C5" s="2">
        <v>300</v>
      </c>
      <c r="D5" s="3">
        <v>25</v>
      </c>
      <c r="E5" s="4">
        <f t="shared" si="0"/>
        <v>7500</v>
      </c>
      <c r="I5" s="6" t="s">
        <v>17</v>
      </c>
      <c r="J5" s="4">
        <v>13500</v>
      </c>
      <c r="O5" s="6" t="s">
        <v>7</v>
      </c>
      <c r="P5" s="4">
        <v>10200</v>
      </c>
    </row>
    <row r="6" spans="1:26" ht="12.75" x14ac:dyDescent="0.2">
      <c r="A6" s="2" t="s">
        <v>8</v>
      </c>
      <c r="B6" s="2" t="s">
        <v>11</v>
      </c>
      <c r="C6" s="2">
        <v>1500</v>
      </c>
      <c r="D6" s="3">
        <v>6.5</v>
      </c>
      <c r="E6" s="4">
        <f t="shared" si="0"/>
        <v>9750</v>
      </c>
      <c r="I6" s="6" t="s">
        <v>8</v>
      </c>
      <c r="J6" s="4">
        <v>31100</v>
      </c>
      <c r="O6" s="6" t="s">
        <v>13</v>
      </c>
      <c r="P6" s="4">
        <v>13125</v>
      </c>
    </row>
    <row r="7" spans="1:26" ht="12.75" x14ac:dyDescent="0.2">
      <c r="A7" s="2" t="s">
        <v>12</v>
      </c>
      <c r="B7" s="2" t="s">
        <v>13</v>
      </c>
      <c r="C7" s="2">
        <v>700</v>
      </c>
      <c r="D7" s="3">
        <v>18.75</v>
      </c>
      <c r="E7" s="4">
        <f t="shared" si="0"/>
        <v>13125</v>
      </c>
      <c r="I7" s="6" t="s">
        <v>5</v>
      </c>
      <c r="J7" s="4">
        <v>25575</v>
      </c>
      <c r="O7" s="6" t="s">
        <v>11</v>
      </c>
      <c r="P7" s="4">
        <v>9750</v>
      </c>
    </row>
    <row r="8" spans="1:26" ht="12.75" x14ac:dyDescent="0.2">
      <c r="A8" s="2" t="s">
        <v>12</v>
      </c>
      <c r="B8" s="2" t="s">
        <v>14</v>
      </c>
      <c r="C8" s="2">
        <v>900</v>
      </c>
      <c r="D8" s="3">
        <v>14</v>
      </c>
      <c r="E8" s="4">
        <f t="shared" si="0"/>
        <v>12600</v>
      </c>
      <c r="I8" s="6" t="s">
        <v>21</v>
      </c>
      <c r="J8" s="4">
        <v>107900</v>
      </c>
      <c r="O8" s="6" t="s">
        <v>15</v>
      </c>
      <c r="P8" s="4">
        <v>11550</v>
      </c>
    </row>
    <row r="9" spans="1:26" ht="12.75" x14ac:dyDescent="0.2">
      <c r="A9" s="2" t="s">
        <v>8</v>
      </c>
      <c r="B9" s="2" t="s">
        <v>15</v>
      </c>
      <c r="C9" s="2">
        <v>1100</v>
      </c>
      <c r="D9" s="3">
        <v>10.5</v>
      </c>
      <c r="E9" s="4">
        <f t="shared" si="0"/>
        <v>11550</v>
      </c>
      <c r="O9" s="6" t="s">
        <v>9</v>
      </c>
      <c r="P9" s="4">
        <v>9800</v>
      </c>
    </row>
    <row r="10" spans="1:26" ht="12.75" x14ac:dyDescent="0.2">
      <c r="A10" s="2" t="s">
        <v>12</v>
      </c>
      <c r="B10" s="2" t="s">
        <v>16</v>
      </c>
      <c r="C10" s="2">
        <v>600</v>
      </c>
      <c r="D10" s="3">
        <v>20</v>
      </c>
      <c r="E10" s="4">
        <f t="shared" si="0"/>
        <v>12000</v>
      </c>
      <c r="O10" s="6" t="s">
        <v>16</v>
      </c>
      <c r="P10" s="4">
        <v>12000</v>
      </c>
    </row>
    <row r="11" spans="1:26" ht="12.75" x14ac:dyDescent="0.2">
      <c r="A11" s="2" t="s">
        <v>17</v>
      </c>
      <c r="B11" s="2" t="s">
        <v>18</v>
      </c>
      <c r="C11" s="2">
        <v>1000</v>
      </c>
      <c r="D11" s="3">
        <v>13.5</v>
      </c>
      <c r="E11" s="4">
        <f t="shared" si="0"/>
        <v>13500</v>
      </c>
      <c r="O11" s="6" t="s">
        <v>10</v>
      </c>
      <c r="P11" s="4">
        <v>7500</v>
      </c>
    </row>
    <row r="12" spans="1:26" ht="15.75" customHeight="1" x14ac:dyDescent="0.2">
      <c r="O12" s="6" t="s">
        <v>6</v>
      </c>
      <c r="P12" s="4">
        <v>7875</v>
      </c>
    </row>
    <row r="13" spans="1:26" ht="15.75" customHeight="1" x14ac:dyDescent="0.2">
      <c r="O13" s="6" t="s">
        <v>18</v>
      </c>
      <c r="P13" s="4">
        <v>13500</v>
      </c>
    </row>
    <row r="14" spans="1:26" ht="15.75" customHeight="1" x14ac:dyDescent="0.2">
      <c r="O14" s="6" t="s">
        <v>21</v>
      </c>
      <c r="P14" s="4">
        <v>107900</v>
      </c>
    </row>
  </sheetData>
  <pageMargins left="0.19685039370078741" right="0.19685039370078741" top="1.0208333333333333" bottom="1.0520833333333333" header="0.31496062992125984" footer="0.31496062992125984"/>
  <pageSetup orientation="portrait" horizontalDpi="300" verticalDpi="300" r:id="rId3"/>
  <headerFooter differentOddEven="1" differentFirst="1">
    <oddHeader>&amp;C&amp;"-,Grassetto"&amp;16Report prodotti</oddHeader>
    <oddFooter>&amp;L&amp;D&amp;RPagina &amp;P</oddFooter>
    <evenHeader>&amp;C&amp;"-,Grassetto"&amp;16Report aziende</evenHeader>
    <evenFooter>&amp;L&amp;D&amp;RPagina &amp;P</evenFooter>
    <firstHeader>&amp;C&amp;"-,Grassetto"&amp;16Spese recenti</firstHeader>
    <firstFooter>&amp;L&amp;D&amp;RPagina &amp;P</firstFooter>
  </headerFooter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Fancello</cp:lastModifiedBy>
  <cp:lastPrinted>2026-04-13T21:23:39Z</cp:lastPrinted>
  <dcterms:modified xsi:type="dcterms:W3CDTF">2026-04-13T21:24:23Z</dcterms:modified>
</cp:coreProperties>
</file>