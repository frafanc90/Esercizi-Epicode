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/>
  <mc:AlternateContent xmlns:mc="http://schemas.openxmlformats.org/markup-compatibility/2006">
    <mc:Choice Requires="x15">
      <x15ac:absPath xmlns:x15ac="http://schemas.microsoft.com/office/spreadsheetml/2010/11/ac" url="C:\Users\ffanc\Desktop\Github\"/>
    </mc:Choice>
  </mc:AlternateContent>
  <xr:revisionPtr revIDLastSave="0" documentId="13_ncr:1_{E2D81312-6C50-476B-8803-96F6509D7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4" i="1" a="1"/>
  <c r="D14" i="1"/>
  <c r="D15" i="1" a="1"/>
  <c r="D15" i="1"/>
  <c r="D16" i="1" a="1"/>
  <c r="D16" i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3" i="1" a="1"/>
  <c r="D44" i="1" a="1"/>
  <c r="D45" i="1" a="1"/>
  <c r="D46" i="1" a="1"/>
  <c r="D47" i="1" a="1"/>
  <c r="D48" i="1" a="1"/>
  <c r="D49" i="1" a="1"/>
  <c r="D50" i="1" a="1"/>
  <c r="D51" i="1" a="1"/>
  <c r="D52" i="1" a="1"/>
  <c r="D53" i="1" a="1"/>
  <c r="D54" i="1" a="1"/>
  <c r="D55" i="1" a="1"/>
  <c r="D56" i="1" a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8" i="1" a="1"/>
  <c r="D69" i="1" a="1"/>
  <c r="D70" i="1" a="1"/>
  <c r="D71" i="1" a="1"/>
  <c r="D72" i="1" a="1"/>
  <c r="D73" i="1" a="1"/>
  <c r="D74" i="1" a="1"/>
  <c r="D75" i="1" a="1"/>
  <c r="D76" i="1" a="1"/>
  <c r="D77" i="1" a="1"/>
  <c r="D78" i="1" a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7" i="1" a="1"/>
  <c r="D88" i="1" a="1"/>
  <c r="D89" i="1" a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1" i="1" a="1"/>
  <c r="D2" i="1" a="1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C2" i="1" a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1" i="1" a="1"/>
  <c r="C22" i="1" a="1"/>
  <c r="C23" i="1" a="1"/>
  <c r="C24" i="1" a="1"/>
  <c r="C25" i="1" a="1"/>
  <c r="C26" i="1" a="1"/>
  <c r="C27" i="1" a="1"/>
  <c r="C28" i="1" a="1"/>
  <c r="C29" i="1" a="1"/>
  <c r="C30" i="1" a="1"/>
  <c r="C31" i="1" a="1"/>
  <c r="C32" i="1" a="1"/>
  <c r="C33" i="1" a="1"/>
  <c r="C34" i="1" a="1"/>
  <c r="C35" i="1" a="1"/>
  <c r="C36" i="1" a="1"/>
  <c r="C37" i="1" a="1"/>
  <c r="C38" i="1" a="1"/>
  <c r="C39" i="1" a="1"/>
  <c r="C40" i="1" a="1"/>
  <c r="C41" i="1" a="1"/>
  <c r="C42" i="1" a="1"/>
  <c r="C43" i="1" a="1"/>
  <c r="C44" i="1" a="1"/>
  <c r="C45" i="1" a="1"/>
  <c r="C46" i="1" a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9" i="1" a="1"/>
  <c r="C59" i="1"/>
  <c r="C60" i="1" a="1"/>
  <c r="C60" i="1"/>
  <c r="C61" i="1" a="1"/>
  <c r="C61" i="1"/>
  <c r="C62" i="1" a="1"/>
  <c r="C62" i="1"/>
  <c r="C63" i="1" a="1"/>
  <c r="C64" i="1" a="1"/>
  <c r="C65" i="1" a="1"/>
  <c r="C65" i="1"/>
  <c r="C66" i="1" a="1"/>
  <c r="C66" i="1"/>
  <c r="C67" i="1" a="1"/>
  <c r="C67" i="1"/>
  <c r="C68" i="1" a="1"/>
  <c r="C69" i="1" a="1"/>
  <c r="C70" i="1" a="1"/>
  <c r="C71" i="1" a="1"/>
  <c r="C72" i="1" a="1"/>
  <c r="C73" i="1" a="1"/>
  <c r="C74" i="1" a="1"/>
  <c r="C75" i="1" a="1"/>
  <c r="C76" i="1" a="1"/>
  <c r="C77" i="1" a="1"/>
  <c r="C78" i="1" a="1"/>
  <c r="C79" i="1" a="1"/>
  <c r="C80" i="1" a="1"/>
  <c r="C81" i="1" a="1"/>
  <c r="C82" i="1" a="1"/>
  <c r="C83" i="1" a="1"/>
  <c r="C84" i="1" a="1"/>
  <c r="C85" i="1" a="1"/>
  <c r="C86" i="1" a="1"/>
  <c r="C87" i="1" a="1"/>
  <c r="C88" i="1" a="1"/>
  <c r="C89" i="1" a="1"/>
  <c r="C90" i="1" a="1"/>
  <c r="C91" i="1" a="1"/>
  <c r="C92" i="1" a="1"/>
  <c r="C93" i="1" a="1"/>
  <c r="C94" i="1" a="1"/>
  <c r="C95" i="1" a="1"/>
  <c r="C96" i="1" a="1"/>
  <c r="C97" i="1" a="1"/>
  <c r="C98" i="1" a="1"/>
  <c r="C99" i="1" a="1"/>
  <c r="C100" i="1" a="1"/>
  <c r="C101" i="1" a="1"/>
  <c r="D17" i="1" l="1"/>
  <c r="D19" i="1"/>
  <c r="D21" i="1"/>
  <c r="D23" i="1"/>
  <c r="D26" i="1"/>
  <c r="D28" i="1"/>
  <c r="D30" i="1"/>
  <c r="D32" i="1"/>
  <c r="D34" i="1"/>
  <c r="D43" i="1"/>
  <c r="D46" i="1"/>
  <c r="D48" i="1"/>
  <c r="D52" i="1"/>
  <c r="D56" i="1"/>
  <c r="D67" i="1"/>
  <c r="D68" i="1"/>
  <c r="D75" i="1"/>
  <c r="D13" i="1"/>
  <c r="D18" i="1"/>
  <c r="D20" i="1"/>
  <c r="D22" i="1"/>
  <c r="D25" i="1"/>
  <c r="D27" i="1"/>
  <c r="D29" i="1"/>
  <c r="D31" i="1"/>
  <c r="D33" i="1"/>
  <c r="D42" i="1"/>
  <c r="D45" i="1"/>
  <c r="D49" i="1"/>
  <c r="D50" i="1"/>
  <c r="D54" i="1"/>
  <c r="D72" i="1"/>
  <c r="D87" i="1"/>
  <c r="D24" i="1"/>
  <c r="D35" i="1"/>
  <c r="D44" i="1"/>
  <c r="D47" i="1"/>
  <c r="D51" i="1"/>
  <c r="D88" i="1"/>
  <c r="D78" i="1"/>
  <c r="D86" i="1"/>
  <c r="D74" i="1"/>
  <c r="D77" i="1"/>
  <c r="D101" i="1"/>
  <c r="D53" i="1"/>
  <c r="D69" i="1"/>
  <c r="D76" i="1"/>
  <c r="D100" i="1"/>
  <c r="D71" i="1"/>
  <c r="D73" i="1"/>
  <c r="D89" i="1"/>
  <c r="D55" i="1"/>
  <c r="D70" i="1"/>
  <c r="D2" i="1"/>
  <c r="C2" i="1"/>
  <c r="C25" i="1"/>
  <c r="C26" i="1"/>
  <c r="C31" i="1"/>
  <c r="C35" i="1"/>
  <c r="C38" i="1"/>
  <c r="C43" i="1"/>
  <c r="C75" i="1"/>
  <c r="C76" i="1"/>
  <c r="C95" i="1"/>
  <c r="C20" i="1"/>
  <c r="C22" i="1"/>
  <c r="C29" i="1"/>
  <c r="C32" i="1"/>
  <c r="C36" i="1"/>
  <c r="C41" i="1"/>
  <c r="C45" i="1"/>
  <c r="C97" i="1"/>
  <c r="C99" i="1"/>
  <c r="C23" i="1"/>
  <c r="C24" i="1"/>
  <c r="C28" i="1"/>
  <c r="C30" i="1"/>
  <c r="C33" i="1"/>
  <c r="C34" i="1"/>
  <c r="C37" i="1"/>
  <c r="C21" i="1"/>
  <c r="C39" i="1"/>
  <c r="C40" i="1"/>
  <c r="C82" i="1"/>
  <c r="C83" i="1"/>
  <c r="C86" i="1"/>
  <c r="C88" i="1"/>
  <c r="C100" i="1"/>
  <c r="C27" i="1"/>
  <c r="C72" i="1"/>
  <c r="C81" i="1"/>
  <c r="C98" i="1"/>
  <c r="C42" i="1"/>
  <c r="C44" i="1"/>
  <c r="C79" i="1"/>
  <c r="C80" i="1"/>
  <c r="C84" i="1"/>
  <c r="C46" i="1"/>
  <c r="C78" i="1"/>
  <c r="C89" i="1"/>
  <c r="C101" i="1"/>
  <c r="C52" i="1"/>
  <c r="C63" i="1"/>
  <c r="C69" i="1"/>
  <c r="C77" i="1"/>
  <c r="C85" i="1"/>
  <c r="C94" i="1"/>
  <c r="C58" i="1"/>
  <c r="C64" i="1"/>
  <c r="C68" i="1"/>
  <c r="C71" i="1"/>
  <c r="C87" i="1"/>
  <c r="C90" i="1"/>
  <c r="C93" i="1"/>
  <c r="C96" i="1"/>
  <c r="C70" i="1"/>
  <c r="C73" i="1"/>
  <c r="C74" i="1"/>
  <c r="C92" i="1"/>
  <c r="C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<sst xmlns="http://schemas.openxmlformats.org/spreadsheetml/2006/main" count="164" uniqueCount="116">
  <si>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</si>
  <si>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</si>
  <si>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</si>
  <si>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</si>
  <si>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</si>
  <si>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</si>
  <si>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</si>
  <si>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</si>
  <si>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</si>
  <si>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</si>
  <si>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</si>
  <si>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</si>
  <si>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</si>
  <si>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</si>
  <si>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</si>
  <si>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</si>
  <si>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</si>
  <si>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</si>
  <si>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</si>
  <si>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</si>
  <si>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</si>
  <si>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</si>
  <si>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</si>
  <si>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</si>
  <si>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</si>
  <si>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</si>
  <si>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</si>
  <si>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</si>
  <si>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</si>
  <si>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</si>
  <si>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</si>
  <si>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</si>
  <si>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</si>
  <si>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</si>
  <si>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</si>
  <si>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</si>
  <si>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</si>
  <si>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</si>
  <si>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</si>
  <si>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</si>
  <si>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</si>
  <si>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</si>
  <si>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</si>
  <si>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</si>
  <si>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</si>
  <si>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</si>
  <si>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</si>
  <si>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</si>
  <si>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</si>
  <si>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</si>
  <si>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</si>
  <si>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</si>
  <si>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</si>
  <si>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</si>
  <si>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</si>
  <si>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</si>
  <si>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</si>
  <si>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</si>
  <si>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</si>
  <si>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</si>
  <si>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</si>
  <si>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</si>
  <si>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</si>
  <si>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</si>
  <si>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</si>
  <si>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</si>
  <si>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</si>
  <si>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</si>
  <si>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</si>
  <si>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</si>
  <si>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</si>
  <si>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</si>
  <si>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</si>
  <si>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</si>
  <si>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</si>
  <si>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</si>
  <si>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</si>
  <si>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</si>
  <si>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</si>
  <si>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</si>
  <si>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</si>
  <si>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</si>
  <si>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</si>
  <si>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</si>
  <si>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</si>
  <si>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</si>
  <si>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</si>
  <si>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</si>
  <si>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</si>
  <si>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</si>
  <si>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</si>
  <si>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</si>
  <si>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</si>
  <si>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</si>
  <si>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</si>
  <si>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</si>
  <si>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</si>
  <si>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</si>
  <si>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</si>
  <si>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</si>
  <si>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</si>
  <si>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</si>
  <si>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</si>
  <si>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</si>
  <si>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</si>
  <si>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</si>
  <si>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</si>
  <si>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</si>
  <si>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</si>
  <si>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</si>
  <si>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Prima lettera</t>
  </si>
  <si>
    <t>Categoria</t>
  </si>
  <si>
    <t>A:F</t>
  </si>
  <si>
    <t>G:M</t>
  </si>
  <si>
    <t>N:Z</t>
  </si>
  <si>
    <t>€/h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</si>
</sst>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4" fontId="0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zoomScaleNormal="100" workbookViewId="0">
      <selection activeCell="D2" sqref="D2"/>
    </sheetView>
  </sheetViews>
  <sheetFormatPr defaultColWidth="12.5703125" defaultRowHeight="15.75" customHeight="1" x14ac:dyDescent="0.2"/>
  <cols>
    <col min="2" max="2" width="25.42578125" customWidth="1"/>
    <col min="3" max="3" width="23.28515625" bestFit="1" customWidth="1"/>
    <col min="4" max="4" width="25.140625" customWidth="1"/>
    <col min="5" max="5" width="17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110</v>
      </c>
      <c r="F1" s="1" t="s">
        <v>111</v>
      </c>
      <c r="G1" s="1" t="s">
        <v>115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4</v>
      </c>
      <c r="B2" s="2">
        <v>1.5</v>
      </c>
      <c r="C2" cm="1">
        <f t="array" ref="C2">_xlfn.IFS(LEFT(A2,1)&lt;="F",0,LEFT(A2,1)&lt;="M",1,LEFT(A2,1)&lt;="Z",2)</f>
        <v>0</v>
      </c>
      <c r="D2" cm="1">
        <f t="array" ref="D2">_xlfn.IFS(C2=0,B2*4,C2=1,B2*3,C2=2,B2*2)</f>
        <v>6</v>
      </c>
      <c r="E2" t="s">
        <v>112</v>
      </c>
      <c r="F2">
        <v>0</v>
      </c>
      <c r="G2" s="3">
        <v>4</v>
      </c>
    </row>
    <row r="3" spans="1:26" ht="12.75" x14ac:dyDescent="0.2">
      <c r="A3" s="2" t="s">
        <v>5</v>
      </c>
      <c r="B3" s="2">
        <v>2.5</v>
      </c>
      <c r="C3" cm="1">
        <f t="array" ref="C3">_xlfn.IFS(LEFT(A3,1)&lt;="F",0,LEFT(A3,1)&lt;="M",1,LEFT(A3,1)&lt;="Z",2)</f>
        <v>1</v>
      </c>
      <c r="D3" cm="1">
        <f t="array" ref="D3">_xlfn.IFS(C3=0,B3*4,C3=1,B3*3,C3=2,B3*2)</f>
        <v>7.5</v>
      </c>
      <c r="E3" t="s">
        <v>113</v>
      </c>
      <c r="F3">
        <v>1</v>
      </c>
      <c r="G3" s="3">
        <v>3</v>
      </c>
    </row>
    <row r="4" spans="1:26" ht="12.75" x14ac:dyDescent="0.2">
      <c r="A4" s="2" t="s">
        <v>6</v>
      </c>
      <c r="B4" s="2">
        <v>3.5</v>
      </c>
      <c r="C4" cm="1">
        <f t="array" ref="C4">_xlfn.IFS(LEFT(A4,1)&lt;="F",0,LEFT(A4,1)&lt;="M",1,LEFT(A4,1)&lt;="Z",2)</f>
        <v>2</v>
      </c>
      <c r="D4" cm="1">
        <f t="array" ref="D4">_xlfn.IFS(C4=0,B4*4,C4=1,B4*3,C4=2,B4*2)</f>
        <v>7</v>
      </c>
      <c r="E4" t="s">
        <v>114</v>
      </c>
      <c r="F4">
        <v>2</v>
      </c>
      <c r="G4" s="3">
        <v>2</v>
      </c>
    </row>
    <row r="5" spans="1:26" ht="12.75" x14ac:dyDescent="0.2">
      <c r="A5" s="2" t="s">
        <v>7</v>
      </c>
      <c r="B5" s="2">
        <v>4.5</v>
      </c>
      <c r="C5" cm="1">
        <f t="array" ref="C5">_xlfn.IFS(LEFT(A5,1)&lt;="F",0,LEFT(A5,1)&lt;="M",1,LEFT(A5,1)&lt;="Z",2)</f>
        <v>2</v>
      </c>
      <c r="D5" cm="1">
        <f t="array" ref="D5">_xlfn.IFS(C5=0,B5*4,C5=1,B5*3,C5=2,B5*2)</f>
        <v>9</v>
      </c>
    </row>
    <row r="6" spans="1:26" ht="12.75" x14ac:dyDescent="0.2">
      <c r="A6" s="2" t="s">
        <v>8</v>
      </c>
      <c r="B6" s="2">
        <v>5.5</v>
      </c>
      <c r="C6" cm="1">
        <f t="array" ref="C6">_xlfn.IFS(LEFT(A6,1)&lt;="F",0,LEFT(A6,1)&lt;="M",1,LEFT(A6,1)&lt;="Z",2)</f>
        <v>2</v>
      </c>
      <c r="D6" cm="1">
        <f t="array" ref="D6">_xlfn.IFS(C6=0,B6*4,C6=1,B6*3,C6=2,B6*2)</f>
        <v>11</v>
      </c>
    </row>
    <row r="7" spans="1:26" ht="12.75" x14ac:dyDescent="0.2">
      <c r="A7" s="2" t="s">
        <v>9</v>
      </c>
      <c r="B7" s="2">
        <v>6.5</v>
      </c>
      <c r="C7" cm="1">
        <f t="array" ref="C7">_xlfn.IFS(LEFT(A7,1)&lt;="F",0,LEFT(A7,1)&lt;="M",1,LEFT(A7,1)&lt;="Z",2)</f>
        <v>2</v>
      </c>
      <c r="D7" cm="1">
        <f t="array" ref="D7">_xlfn.IFS(C7=0,B7*4,C7=1,B7*3,C7=2,B7*2)</f>
        <v>13</v>
      </c>
    </row>
    <row r="8" spans="1:26" ht="12.75" x14ac:dyDescent="0.2">
      <c r="A8" s="2" t="s">
        <v>10</v>
      </c>
      <c r="B8" s="2">
        <v>7.5</v>
      </c>
      <c r="C8" cm="1">
        <f t="array" ref="C8">_xlfn.IFS(LEFT(A8,1)&lt;="F",0,LEFT(A8,1)&lt;="M",1,LEFT(A8,1)&lt;="Z",2)</f>
        <v>0</v>
      </c>
      <c r="D8" cm="1">
        <f t="array" ref="D8">_xlfn.IFS(C8=0,B8*4,C8=1,B8*3,C8=2,B8*2)</f>
        <v>30</v>
      </c>
    </row>
    <row r="9" spans="1:26" ht="12.75" x14ac:dyDescent="0.2">
      <c r="A9" s="2" t="s">
        <v>11</v>
      </c>
      <c r="B9" s="2">
        <v>8.5</v>
      </c>
      <c r="C9" cm="1">
        <f t="array" ref="C9">_xlfn.IFS(LEFT(A9,1)&lt;="F",0,LEFT(A9,1)&lt;="M",1,LEFT(A9,1)&lt;="Z",2)</f>
        <v>0</v>
      </c>
      <c r="D9" cm="1">
        <f t="array" ref="D9">_xlfn.IFS(C9=0,B9*4,C9=1,B9*3,C9=2,B9*2)</f>
        <v>34</v>
      </c>
    </row>
    <row r="10" spans="1:26" ht="12.75" x14ac:dyDescent="0.2">
      <c r="A10" s="2" t="s">
        <v>12</v>
      </c>
      <c r="B10" s="2">
        <v>9.5</v>
      </c>
      <c r="C10" cm="1">
        <f t="array" ref="C10">_xlfn.IFS(LEFT(A10,1)&lt;="F",0,LEFT(A10,1)&lt;="M",1,LEFT(A10,1)&lt;="Z",2)</f>
        <v>0</v>
      </c>
      <c r="D10" cm="1">
        <f t="array" ref="D10">_xlfn.IFS(C10=0,B10*4,C10=1,B10*3,C10=2,B10*2)</f>
        <v>38</v>
      </c>
    </row>
    <row r="11" spans="1:26" ht="12.75" x14ac:dyDescent="0.2">
      <c r="A11" s="2" t="s">
        <v>13</v>
      </c>
      <c r="B11" s="2">
        <v>10</v>
      </c>
      <c r="C11" cm="1">
        <f t="array" ref="C11">_xlfn.IFS(LEFT(A11,1)&lt;="F",0,LEFT(A11,1)&lt;="M",1,LEFT(A11,1)&lt;="Z",2)</f>
        <v>1</v>
      </c>
      <c r="D11" cm="1">
        <f t="array" ref="D11">_xlfn.IFS(C11=0,B11*4,C11=1,B11*3,C11=2,B11*2)</f>
        <v>30</v>
      </c>
    </row>
    <row r="12" spans="1:26" ht="12.75" x14ac:dyDescent="0.2">
      <c r="A12" s="2" t="s">
        <v>14</v>
      </c>
      <c r="B12" s="2">
        <v>0.5</v>
      </c>
      <c r="C12" cm="1">
        <f t="array" ref="C12">_xlfn.IFS(LEFT(A12,1)&lt;="F",0,LEFT(A12,1)&lt;="M",1,LEFT(A12,1)&lt;="Z",2)</f>
        <v>1</v>
      </c>
      <c r="D12" cm="1">
        <f t="array" ref="D12">_xlfn.IFS(C12=0,B12*4,C12=1,B12*3,C12=2,B12*2)</f>
        <v>1.5</v>
      </c>
    </row>
    <row r="13" spans="1:26" ht="12.75" x14ac:dyDescent="0.2">
      <c r="A13" s="2" t="s">
        <v>15</v>
      </c>
      <c r="B13" s="2">
        <v>1</v>
      </c>
      <c r="C13" cm="1">
        <f t="array" ref="C13">_xlfn.IFS(LEFT(A13,1)&lt;="F",0,LEFT(A13,1)&lt;="M",1,LEFT(A13,1)&lt;="Z",2)</f>
        <v>1</v>
      </c>
      <c r="D13" cm="1">
        <f t="array" ref="D13">_xlfn.IFS(C13=0,B13*4,C13=1,B13*3,C13=2,B13*2)</f>
        <v>3</v>
      </c>
    </row>
    <row r="14" spans="1:26" ht="12.75" x14ac:dyDescent="0.2">
      <c r="A14" s="2" t="s">
        <v>16</v>
      </c>
      <c r="B14" s="2">
        <v>2</v>
      </c>
      <c r="C14" cm="1">
        <f t="array" ref="C14">_xlfn.IFS(LEFT(A14,1)&lt;="F",0,LEFT(A14,1)&lt;="M",1,LEFT(A14,1)&lt;="Z",2)</f>
        <v>1</v>
      </c>
      <c r="D14" cm="1">
        <f t="array" ref="D14">_xlfn.IFS(C14=0,B14*4,C14=1,B14*3,C14=2,B14*2)</f>
        <v>6</v>
      </c>
    </row>
    <row r="15" spans="1:26" ht="12.75" x14ac:dyDescent="0.2">
      <c r="A15" s="2" t="s">
        <v>17</v>
      </c>
      <c r="B15" s="2">
        <v>3</v>
      </c>
      <c r="C15" cm="1">
        <f t="array" ref="C15">_xlfn.IFS(LEFT(A15,1)&lt;="F",0,LEFT(A15,1)&lt;="M",1,LEFT(A15,1)&lt;="Z",2)</f>
        <v>2</v>
      </c>
      <c r="D15" cm="1">
        <f t="array" ref="D15">_xlfn.IFS(C15=0,B15*4,C15=1,B15*3,C15=2,B15*2)</f>
        <v>6</v>
      </c>
    </row>
    <row r="16" spans="1:26" ht="12.75" x14ac:dyDescent="0.2">
      <c r="A16" s="2" t="s">
        <v>18</v>
      </c>
      <c r="B16" s="2">
        <v>4</v>
      </c>
      <c r="C16" cm="1">
        <f t="array" ref="C16">_xlfn.IFS(LEFT(A16,1)&lt;="F",0,LEFT(A16,1)&lt;="M",1,LEFT(A16,1)&lt;="Z",2)</f>
        <v>2</v>
      </c>
      <c r="D16" cm="1">
        <f t="array" ref="D16">_xlfn.IFS(C16=0,B16*4,C16=1,B16*3,C16=2,B16*2)</f>
        <v>8</v>
      </c>
    </row>
    <row r="17" spans="1:4" ht="12.75" x14ac:dyDescent="0.2">
      <c r="A17" s="2" t="s">
        <v>19</v>
      </c>
      <c r="B17" s="2">
        <v>5</v>
      </c>
      <c r="C17" cm="1">
        <f t="array" ref="C17">_xlfn.IFS(LEFT(A17,1)&lt;="F",0,LEFT(A17,1)&lt;="M",1,LEFT(A17,1)&lt;="Z",2)</f>
        <v>2</v>
      </c>
      <c r="D17" cm="1">
        <f t="array" ref="D17">_xlfn.IFS(C17=0,B17*4,C17=1,B17*3,C17=2,B17*2)</f>
        <v>10</v>
      </c>
    </row>
    <row r="18" spans="1:4" ht="12.75" x14ac:dyDescent="0.2">
      <c r="A18" s="2" t="s">
        <v>20</v>
      </c>
      <c r="B18" s="2">
        <v>6</v>
      </c>
      <c r="C18" cm="1">
        <f t="array" ref="C18">_xlfn.IFS(LEFT(A18,1)&lt;="F",0,LEFT(A18,1)&lt;="M",1,LEFT(A18,1)&lt;="Z",2)</f>
        <v>2</v>
      </c>
      <c r="D18" cm="1">
        <f t="array" ref="D18">_xlfn.IFS(C18=0,B18*4,C18=1,B18*3,C18=2,B18*2)</f>
        <v>12</v>
      </c>
    </row>
    <row r="19" spans="1:4" ht="12.75" x14ac:dyDescent="0.2">
      <c r="A19" s="2" t="s">
        <v>21</v>
      </c>
      <c r="B19" s="2">
        <v>7</v>
      </c>
      <c r="C19" cm="1">
        <f t="array" ref="C19">_xlfn.IFS(LEFT(A19,1)&lt;="F",0,LEFT(A19,1)&lt;="M",1,LEFT(A19,1)&lt;="Z",2)</f>
        <v>2</v>
      </c>
      <c r="D19" cm="1">
        <f t="array" ref="D19">_xlfn.IFS(C19=0,B19*4,C19=1,B19*3,C19=2,B19*2)</f>
        <v>14</v>
      </c>
    </row>
    <row r="20" spans="1:4" ht="12.75" x14ac:dyDescent="0.2">
      <c r="A20" s="2" t="s">
        <v>22</v>
      </c>
      <c r="B20" s="2">
        <v>8</v>
      </c>
      <c r="C20" cm="1">
        <f t="array" ref="C20">_xlfn.IFS(LEFT(A20,1)&lt;="F",0,LEFT(A20,1)&lt;="M",1,LEFT(A20,1)&lt;="Z",2)</f>
        <v>2</v>
      </c>
      <c r="D20" cm="1">
        <f t="array" ref="D20">_xlfn.IFS(C20=0,B20*4,C20=1,B20*3,C20=2,B20*2)</f>
        <v>16</v>
      </c>
    </row>
    <row r="21" spans="1:4" ht="12.75" x14ac:dyDescent="0.2">
      <c r="A21" s="2" t="s">
        <v>23</v>
      </c>
      <c r="B21" s="2">
        <v>9</v>
      </c>
      <c r="C21" cm="1">
        <f t="array" ref="C21">_xlfn.IFS(LEFT(A21,1)&lt;="F",0,LEFT(A21,1)&lt;="M",1,LEFT(A21,1)&lt;="Z",2)</f>
        <v>0</v>
      </c>
      <c r="D21" cm="1">
        <f t="array" ref="D21">_xlfn.IFS(C21=0,B21*4,C21=1,B21*3,C21=2,B21*2)</f>
        <v>36</v>
      </c>
    </row>
    <row r="22" spans="1:4" ht="12.75" x14ac:dyDescent="0.2">
      <c r="A22" s="2" t="s">
        <v>24</v>
      </c>
      <c r="B22" s="2">
        <v>10</v>
      </c>
      <c r="C22" cm="1">
        <f t="array" ref="C22">_xlfn.IFS(LEFT(A22,1)&lt;="F",0,LEFT(A22,1)&lt;="M",1,LEFT(A22,1)&lt;="Z",2)</f>
        <v>0</v>
      </c>
      <c r="D22" cm="1">
        <f t="array" ref="D22">_xlfn.IFS(C22=0,B22*4,C22=1,B22*3,C22=2,B22*2)</f>
        <v>40</v>
      </c>
    </row>
    <row r="23" spans="1:4" ht="12.75" x14ac:dyDescent="0.2">
      <c r="A23" s="2" t="s">
        <v>25</v>
      </c>
      <c r="B23" s="2">
        <v>0.5</v>
      </c>
      <c r="C23" cm="1">
        <f t="array" ref="C23">_xlfn.IFS(LEFT(A23,1)&lt;="F",0,LEFT(A23,1)&lt;="M",1,LEFT(A23,1)&lt;="Z",2)</f>
        <v>0</v>
      </c>
      <c r="D23" cm="1">
        <f t="array" ref="D23">_xlfn.IFS(C23=0,B23*4,C23=1,B23*3,C23=2,B23*2)</f>
        <v>2</v>
      </c>
    </row>
    <row r="24" spans="1:4" ht="12.75" x14ac:dyDescent="0.2">
      <c r="A24" s="2" t="s">
        <v>26</v>
      </c>
      <c r="B24" s="2">
        <v>1</v>
      </c>
      <c r="C24" cm="1">
        <f t="array" ref="C24">_xlfn.IFS(LEFT(A24,1)&lt;="F",0,LEFT(A24,1)&lt;="M",1,LEFT(A24,1)&lt;="Z",2)</f>
        <v>1</v>
      </c>
      <c r="D24" cm="1">
        <f t="array" ref="D24">_xlfn.IFS(C24=0,B24*4,C24=1,B24*3,C24=2,B24*2)</f>
        <v>3</v>
      </c>
    </row>
    <row r="25" spans="1:4" ht="12.75" x14ac:dyDescent="0.2">
      <c r="A25" s="2" t="s">
        <v>27</v>
      </c>
      <c r="B25" s="2">
        <v>2</v>
      </c>
      <c r="C25" cm="1">
        <f t="array" ref="C25">_xlfn.IFS(LEFT(A25,1)&lt;="F",0,LEFT(A25,1)&lt;="M",1,LEFT(A25,1)&lt;="Z",2)</f>
        <v>1</v>
      </c>
      <c r="D25" cm="1">
        <f t="array" ref="D25">_xlfn.IFS(C25=0,B25*4,C25=1,B25*3,C25=2,B25*2)</f>
        <v>6</v>
      </c>
    </row>
    <row r="26" spans="1:4" ht="12.75" x14ac:dyDescent="0.2">
      <c r="A26" s="2" t="s">
        <v>28</v>
      </c>
      <c r="B26" s="2">
        <v>3</v>
      </c>
      <c r="C26" cm="1">
        <f t="array" ref="C26">_xlfn.IFS(LEFT(A26,1)&lt;="F",0,LEFT(A26,1)&lt;="M",1,LEFT(A26,1)&lt;="Z",2)</f>
        <v>1</v>
      </c>
      <c r="D26" cm="1">
        <f t="array" ref="D26">_xlfn.IFS(C26=0,B26*4,C26=1,B26*3,C26=2,B26*2)</f>
        <v>9</v>
      </c>
    </row>
    <row r="27" spans="1:4" ht="12.75" x14ac:dyDescent="0.2">
      <c r="A27" s="2" t="s">
        <v>29</v>
      </c>
      <c r="B27" s="2">
        <v>4</v>
      </c>
      <c r="C27" cm="1">
        <f t="array" ref="C27">_xlfn.IFS(LEFT(A27,1)&lt;="F",0,LEFT(A27,1)&lt;="M",1,LEFT(A27,1)&lt;="Z",2)</f>
        <v>1</v>
      </c>
      <c r="D27" cm="1">
        <f t="array" ref="D27">_xlfn.IFS(C27=0,B27*4,C27=1,B27*3,C27=2,B27*2)</f>
        <v>12</v>
      </c>
    </row>
    <row r="28" spans="1:4" ht="12.75" x14ac:dyDescent="0.2">
      <c r="A28" s="2" t="s">
        <v>30</v>
      </c>
      <c r="B28" s="2">
        <v>5</v>
      </c>
      <c r="C28" cm="1">
        <f t="array" ref="C28">_xlfn.IFS(LEFT(A28,1)&lt;="F",0,LEFT(A28,1)&lt;="M",1,LEFT(A28,1)&lt;="Z",2)</f>
        <v>2</v>
      </c>
      <c r="D28" cm="1">
        <f t="array" ref="D28">_xlfn.IFS(C28=0,B28*4,C28=1,B28*3,C28=2,B28*2)</f>
        <v>10</v>
      </c>
    </row>
    <row r="29" spans="1:4" ht="12.75" x14ac:dyDescent="0.2">
      <c r="A29" s="2" t="s">
        <v>31</v>
      </c>
      <c r="B29" s="2">
        <v>6</v>
      </c>
      <c r="C29" cm="1">
        <f t="array" ref="C29">_xlfn.IFS(LEFT(A29,1)&lt;="F",0,LEFT(A29,1)&lt;="M",1,LEFT(A29,1)&lt;="Z",2)</f>
        <v>2</v>
      </c>
      <c r="D29" cm="1">
        <f t="array" ref="D29">_xlfn.IFS(C29=0,B29*4,C29=1,B29*3,C29=2,B29*2)</f>
        <v>12</v>
      </c>
    </row>
    <row r="30" spans="1:4" ht="12.75" x14ac:dyDescent="0.2">
      <c r="A30" s="2" t="s">
        <v>32</v>
      </c>
      <c r="B30" s="2">
        <v>7</v>
      </c>
      <c r="C30" cm="1">
        <f t="array" ref="C30">_xlfn.IFS(LEFT(A30,1)&lt;="F",0,LEFT(A30,1)&lt;="M",1,LEFT(A30,1)&lt;="Z",2)</f>
        <v>2</v>
      </c>
      <c r="D30" cm="1">
        <f t="array" ref="D30">_xlfn.IFS(C30=0,B30*4,C30=1,B30*3,C30=2,B30*2)</f>
        <v>14</v>
      </c>
    </row>
    <row r="31" spans="1:4" ht="12.75" x14ac:dyDescent="0.2">
      <c r="A31" s="2" t="s">
        <v>33</v>
      </c>
      <c r="B31" s="2">
        <v>8</v>
      </c>
      <c r="C31" cm="1">
        <f t="array" ref="C31">_xlfn.IFS(LEFT(A31,1)&lt;="F",0,LEFT(A31,1)&lt;="M",1,LEFT(A31,1)&lt;="Z",2)</f>
        <v>2</v>
      </c>
      <c r="D31" cm="1">
        <f t="array" ref="D31">_xlfn.IFS(C31=0,B31*4,C31=1,B31*3,C31=2,B31*2)</f>
        <v>16</v>
      </c>
    </row>
    <row r="32" spans="1:4" ht="12.75" x14ac:dyDescent="0.2">
      <c r="A32" s="2" t="s">
        <v>34</v>
      </c>
      <c r="B32" s="2">
        <v>9</v>
      </c>
      <c r="C32" cm="1">
        <f t="array" ref="C32">_xlfn.IFS(LEFT(A32,1)&lt;="F",0,LEFT(A32,1)&lt;="M",1,LEFT(A32,1)&lt;="Z",2)</f>
        <v>2</v>
      </c>
      <c r="D32" cm="1">
        <f t="array" ref="D32">_xlfn.IFS(C32=0,B32*4,C32=1,B32*3,C32=2,B32*2)</f>
        <v>18</v>
      </c>
    </row>
    <row r="33" spans="1:4" ht="12.75" x14ac:dyDescent="0.2">
      <c r="A33" s="2" t="s">
        <v>35</v>
      </c>
      <c r="B33" s="2">
        <v>10</v>
      </c>
      <c r="C33" cm="1">
        <f t="array" ref="C33">_xlfn.IFS(LEFT(A33,1)&lt;="F",0,LEFT(A33,1)&lt;="M",1,LEFT(A33,1)&lt;="Z",2)</f>
        <v>2</v>
      </c>
      <c r="D33" cm="1">
        <f t="array" ref="D33">_xlfn.IFS(C33=0,B33*4,C33=1,B33*3,C33=2,B33*2)</f>
        <v>20</v>
      </c>
    </row>
    <row r="34" spans="1:4" ht="12.75" x14ac:dyDescent="0.2">
      <c r="A34" s="2" t="s">
        <v>36</v>
      </c>
      <c r="B34" s="2">
        <v>0.5</v>
      </c>
      <c r="C34" cm="1">
        <f t="array" ref="C34">_xlfn.IFS(LEFT(A34,1)&lt;="F",0,LEFT(A34,1)&lt;="M",1,LEFT(A34,1)&lt;="Z",2)</f>
        <v>0</v>
      </c>
      <c r="D34" cm="1">
        <f t="array" ref="D34">_xlfn.IFS(C34=0,B34*4,C34=1,B34*3,C34=2,B34*2)</f>
        <v>2</v>
      </c>
    </row>
    <row r="35" spans="1:4" ht="12.75" x14ac:dyDescent="0.2">
      <c r="A35" s="2" t="s">
        <v>37</v>
      </c>
      <c r="B35" s="2">
        <v>1</v>
      </c>
      <c r="C35" cm="1">
        <f t="array" ref="C35">_xlfn.IFS(LEFT(A35,1)&lt;="F",0,LEFT(A35,1)&lt;="M",1,LEFT(A35,1)&lt;="Z",2)</f>
        <v>0</v>
      </c>
      <c r="D35" cm="1">
        <f t="array" ref="D35">_xlfn.IFS(C35=0,B35*4,C35=1,B35*3,C35=2,B35*2)</f>
        <v>4</v>
      </c>
    </row>
    <row r="36" spans="1:4" ht="12.75" x14ac:dyDescent="0.2">
      <c r="A36" s="2" t="s">
        <v>38</v>
      </c>
      <c r="B36" s="2">
        <v>2</v>
      </c>
      <c r="C36" cm="1">
        <f t="array" ref="C36">_xlfn.IFS(LEFT(A36,1)&lt;="F",0,LEFT(A36,1)&lt;="M",1,LEFT(A36,1)&lt;="Z",2)</f>
        <v>0</v>
      </c>
      <c r="D36" cm="1">
        <f t="array" ref="D36">_xlfn.IFS(C36=0,B36*4,C36=1,B36*3,C36=2,B36*2)</f>
        <v>8</v>
      </c>
    </row>
    <row r="37" spans="1:4" ht="12.75" x14ac:dyDescent="0.2">
      <c r="A37" s="2" t="s">
        <v>39</v>
      </c>
      <c r="B37" s="2">
        <v>3</v>
      </c>
      <c r="C37" cm="1">
        <f t="array" ref="C37">_xlfn.IFS(LEFT(A37,1)&lt;="F",0,LEFT(A37,1)&lt;="M",1,LEFT(A37,1)&lt;="Z",2)</f>
        <v>1</v>
      </c>
      <c r="D37" cm="1">
        <f t="array" ref="D37">_xlfn.IFS(C37=0,B37*4,C37=1,B37*3,C37=2,B37*2)</f>
        <v>9</v>
      </c>
    </row>
    <row r="38" spans="1:4" ht="12.75" x14ac:dyDescent="0.2">
      <c r="A38" s="2" t="s">
        <v>40</v>
      </c>
      <c r="B38" s="2">
        <v>4</v>
      </c>
      <c r="C38" cm="1">
        <f t="array" ref="C38">_xlfn.IFS(LEFT(A38,1)&lt;="F",0,LEFT(A38,1)&lt;="M",1,LEFT(A38,1)&lt;="Z",2)</f>
        <v>1</v>
      </c>
      <c r="D38" cm="1">
        <f t="array" ref="D38">_xlfn.IFS(C38=0,B38*4,C38=1,B38*3,C38=2,B38*2)</f>
        <v>12</v>
      </c>
    </row>
    <row r="39" spans="1:4" ht="12.75" x14ac:dyDescent="0.2">
      <c r="A39" s="2" t="s">
        <v>41</v>
      </c>
      <c r="B39" s="2">
        <v>5</v>
      </c>
      <c r="C39" cm="1">
        <f t="array" ref="C39">_xlfn.IFS(LEFT(A39,1)&lt;="F",0,LEFT(A39,1)&lt;="M",1,LEFT(A39,1)&lt;="Z",2)</f>
        <v>1</v>
      </c>
      <c r="D39" cm="1">
        <f t="array" ref="D39">_xlfn.IFS(C39=0,B39*4,C39=1,B39*3,C39=2,B39*2)</f>
        <v>15</v>
      </c>
    </row>
    <row r="40" spans="1:4" ht="12.75" x14ac:dyDescent="0.2">
      <c r="A40" s="2" t="s">
        <v>42</v>
      </c>
      <c r="B40" s="2">
        <v>6</v>
      </c>
      <c r="C40" cm="1">
        <f t="array" ref="C40">_xlfn.IFS(LEFT(A40,1)&lt;="F",0,LEFT(A40,1)&lt;="M",1,LEFT(A40,1)&lt;="Z",2)</f>
        <v>1</v>
      </c>
      <c r="D40" cm="1">
        <f t="array" ref="D40">_xlfn.IFS(C40=0,B40*4,C40=1,B40*3,C40=2,B40*2)</f>
        <v>18</v>
      </c>
    </row>
    <row r="41" spans="1:4" ht="12.75" x14ac:dyDescent="0.2">
      <c r="A41" s="2" t="s">
        <v>43</v>
      </c>
      <c r="B41" s="2">
        <v>7</v>
      </c>
      <c r="C41" cm="1">
        <f t="array" ref="C41">_xlfn.IFS(LEFT(A41,1)&lt;="F",0,LEFT(A41,1)&lt;="M",1,LEFT(A41,1)&lt;="Z",2)</f>
        <v>2</v>
      </c>
      <c r="D41" cm="1">
        <f t="array" ref="D41">_xlfn.IFS(C41=0,B41*4,C41=1,B41*3,C41=2,B41*2)</f>
        <v>14</v>
      </c>
    </row>
    <row r="42" spans="1:4" ht="12.75" x14ac:dyDescent="0.2">
      <c r="A42" s="2" t="s">
        <v>44</v>
      </c>
      <c r="B42" s="2">
        <v>8</v>
      </c>
      <c r="C42" cm="1">
        <f t="array" ref="C42">_xlfn.IFS(LEFT(A42,1)&lt;="F",0,LEFT(A42,1)&lt;="M",1,LEFT(A42,1)&lt;="Z",2)</f>
        <v>2</v>
      </c>
      <c r="D42" cm="1">
        <f t="array" ref="D42">_xlfn.IFS(C42=0,B42*4,C42=1,B42*3,C42=2,B42*2)</f>
        <v>16</v>
      </c>
    </row>
    <row r="43" spans="1:4" ht="12.75" x14ac:dyDescent="0.2">
      <c r="A43" s="2" t="s">
        <v>45</v>
      </c>
      <c r="B43" s="2">
        <v>9</v>
      </c>
      <c r="C43" cm="1">
        <f t="array" ref="C43">_xlfn.IFS(LEFT(A43,1)&lt;="F",0,LEFT(A43,1)&lt;="M",1,LEFT(A43,1)&lt;="Z",2)</f>
        <v>2</v>
      </c>
      <c r="D43" cm="1">
        <f t="array" ref="D43">_xlfn.IFS(C43=0,B43*4,C43=1,B43*3,C43=2,B43*2)</f>
        <v>18</v>
      </c>
    </row>
    <row r="44" spans="1:4" ht="12.75" x14ac:dyDescent="0.2">
      <c r="A44" s="2" t="s">
        <v>7</v>
      </c>
      <c r="B44" s="2">
        <v>10</v>
      </c>
      <c r="C44" cm="1">
        <f t="array" ref="C44">_xlfn.IFS(LEFT(A44,1)&lt;="F",0,LEFT(A44,1)&lt;="M",1,LEFT(A44,1)&lt;="Z",2)</f>
        <v>2</v>
      </c>
      <c r="D44" cm="1">
        <f t="array" ref="D44">_xlfn.IFS(C44=0,B44*4,C44=1,B44*3,C44=2,B44*2)</f>
        <v>20</v>
      </c>
    </row>
    <row r="45" spans="1:4" ht="12.75" x14ac:dyDescent="0.2">
      <c r="A45" s="2" t="s">
        <v>46</v>
      </c>
      <c r="B45" s="2">
        <v>0.5</v>
      </c>
      <c r="C45" cm="1">
        <f t="array" ref="C45">_xlfn.IFS(LEFT(A45,1)&lt;="F",0,LEFT(A45,1)&lt;="M",1,LEFT(A45,1)&lt;="Z",2)</f>
        <v>2</v>
      </c>
      <c r="D45" cm="1">
        <f t="array" ref="D45">_xlfn.IFS(C45=0,B45*4,C45=1,B45*3,C45=2,B45*2)</f>
        <v>1</v>
      </c>
    </row>
    <row r="46" spans="1:4" ht="12.75" x14ac:dyDescent="0.2">
      <c r="A46" s="2" t="s">
        <v>47</v>
      </c>
      <c r="B46" s="2">
        <v>1</v>
      </c>
      <c r="C46" cm="1">
        <f t="array" ref="C46">_xlfn.IFS(LEFT(A46,1)&lt;="F",0,LEFT(A46,1)&lt;="M",1,LEFT(A46,1)&lt;="Z",2)</f>
        <v>2</v>
      </c>
      <c r="D46" cm="1">
        <f t="array" ref="D46">_xlfn.IFS(C46=0,B46*4,C46=1,B46*3,C46=2,B46*2)</f>
        <v>2</v>
      </c>
    </row>
    <row r="47" spans="1:4" ht="12.75" x14ac:dyDescent="0.2">
      <c r="A47" s="2" t="s">
        <v>48</v>
      </c>
      <c r="B47" s="2">
        <v>2</v>
      </c>
      <c r="C47" cm="1">
        <f t="array" ref="C47">_xlfn.IFS(LEFT(A47,1)&lt;="F",0,LEFT(A47,1)&lt;="M",1,LEFT(A47,1)&lt;="Z",2)</f>
        <v>0</v>
      </c>
      <c r="D47" cm="1">
        <f t="array" ref="D47">_xlfn.IFS(C47=0,B47*4,C47=1,B47*3,C47=2,B47*2)</f>
        <v>8</v>
      </c>
    </row>
    <row r="48" spans="1:4" ht="12.75" x14ac:dyDescent="0.2">
      <c r="A48" s="2" t="s">
        <v>49</v>
      </c>
      <c r="B48" s="2">
        <v>3</v>
      </c>
      <c r="C48" cm="1">
        <f t="array" ref="C48">_xlfn.IFS(LEFT(A48,1)&lt;="F",0,LEFT(A48,1)&lt;="M",1,LEFT(A48,1)&lt;="Z",2)</f>
        <v>0</v>
      </c>
      <c r="D48" cm="1">
        <f t="array" ref="D48">_xlfn.IFS(C48=0,B48*4,C48=1,B48*3,C48=2,B48*2)</f>
        <v>12</v>
      </c>
    </row>
    <row r="49" spans="1:4" ht="12.75" x14ac:dyDescent="0.2">
      <c r="A49" s="2" t="s">
        <v>50</v>
      </c>
      <c r="B49" s="2">
        <v>4</v>
      </c>
      <c r="C49" cm="1">
        <f t="array" ref="C49">_xlfn.IFS(LEFT(A49,1)&lt;="F",0,LEFT(A49,1)&lt;="M",1,LEFT(A49,1)&lt;="Z",2)</f>
        <v>0</v>
      </c>
      <c r="D49" cm="1">
        <f t="array" ref="D49">_xlfn.IFS(C49=0,B49*4,C49=1,B49*3,C49=2,B49*2)</f>
        <v>16</v>
      </c>
    </row>
    <row r="50" spans="1:4" ht="12.75" x14ac:dyDescent="0.2">
      <c r="A50" s="2" t="s">
        <v>51</v>
      </c>
      <c r="B50" s="2">
        <v>5</v>
      </c>
      <c r="C50" cm="1">
        <f t="array" ref="C50">_xlfn.IFS(LEFT(A50,1)&lt;="F",0,LEFT(A50,1)&lt;="M",1,LEFT(A50,1)&lt;="Z",2)</f>
        <v>1</v>
      </c>
      <c r="D50" cm="1">
        <f t="array" ref="D50">_xlfn.IFS(C50=0,B50*4,C50=1,B50*3,C50=2,B50*2)</f>
        <v>15</v>
      </c>
    </row>
    <row r="51" spans="1:4" ht="12.75" x14ac:dyDescent="0.2">
      <c r="A51" s="2" t="s">
        <v>52</v>
      </c>
      <c r="B51" s="2">
        <v>6</v>
      </c>
      <c r="C51" cm="1">
        <f t="array" ref="C51">_xlfn.IFS(LEFT(A51,1)&lt;="F",0,LEFT(A51,1)&lt;="M",1,LEFT(A51,1)&lt;="Z",2)</f>
        <v>1</v>
      </c>
      <c r="D51" cm="1">
        <f t="array" ref="D51">_xlfn.IFS(C51=0,B51*4,C51=1,B51*3,C51=2,B51*2)</f>
        <v>18</v>
      </c>
    </row>
    <row r="52" spans="1:4" ht="12.75" x14ac:dyDescent="0.2">
      <c r="A52" s="2" t="s">
        <v>53</v>
      </c>
      <c r="B52" s="2">
        <v>7</v>
      </c>
      <c r="C52" cm="1">
        <f t="array" ref="C52">_xlfn.IFS(LEFT(A52,1)&lt;="F",0,LEFT(A52,1)&lt;="M",1,LEFT(A52,1)&lt;="Z",2)</f>
        <v>1</v>
      </c>
      <c r="D52" cm="1">
        <f t="array" ref="D52">_xlfn.IFS(C52=0,B52*4,C52=1,B52*3,C52=2,B52*2)</f>
        <v>21</v>
      </c>
    </row>
    <row r="53" spans="1:4" ht="12.75" x14ac:dyDescent="0.2">
      <c r="A53" s="2" t="s">
        <v>54</v>
      </c>
      <c r="B53" s="2">
        <v>8</v>
      </c>
      <c r="C53" cm="1">
        <f t="array" ref="C53">_xlfn.IFS(LEFT(A53,1)&lt;="F",0,LEFT(A53,1)&lt;="M",1,LEFT(A53,1)&lt;="Z",2)</f>
        <v>1</v>
      </c>
      <c r="D53" cm="1">
        <f t="array" ref="D53">_xlfn.IFS(C53=0,B53*4,C53=1,B53*3,C53=2,B53*2)</f>
        <v>24</v>
      </c>
    </row>
    <row r="54" spans="1:4" ht="12.75" x14ac:dyDescent="0.2">
      <c r="A54" s="2" t="s">
        <v>55</v>
      </c>
      <c r="B54" s="2">
        <v>9</v>
      </c>
      <c r="C54" cm="1">
        <f t="array" ref="C54">_xlfn.IFS(LEFT(A54,1)&lt;="F",0,LEFT(A54,1)&lt;="M",1,LEFT(A54,1)&lt;="Z",2)</f>
        <v>2</v>
      </c>
      <c r="D54" cm="1">
        <f t="array" ref="D54">_xlfn.IFS(C54=0,B54*4,C54=1,B54*3,C54=2,B54*2)</f>
        <v>18</v>
      </c>
    </row>
    <row r="55" spans="1:4" ht="12.75" x14ac:dyDescent="0.2">
      <c r="A55" s="2" t="s">
        <v>56</v>
      </c>
      <c r="B55" s="2">
        <v>10</v>
      </c>
      <c r="C55" cm="1">
        <f t="array" ref="C55">_xlfn.IFS(LEFT(A55,1)&lt;="F",0,LEFT(A55,1)&lt;="M",1,LEFT(A55,1)&lt;="Z",2)</f>
        <v>2</v>
      </c>
      <c r="D55" cm="1">
        <f t="array" ref="D55">_xlfn.IFS(C55=0,B55*4,C55=1,B55*3,C55=2,B55*2)</f>
        <v>20</v>
      </c>
    </row>
    <row r="56" spans="1:4" ht="12.75" x14ac:dyDescent="0.2">
      <c r="A56" s="2" t="s">
        <v>57</v>
      </c>
      <c r="B56" s="2">
        <v>0.5</v>
      </c>
      <c r="C56" cm="1">
        <f t="array" ref="C56">_xlfn.IFS(LEFT(A56,1)&lt;="F",0,LEFT(A56,1)&lt;="M",1,LEFT(A56,1)&lt;="Z",2)</f>
        <v>2</v>
      </c>
      <c r="D56" cm="1">
        <f t="array" ref="D56">_xlfn.IFS(C56=0,B56*4,C56=1,B56*3,C56=2,B56*2)</f>
        <v>1</v>
      </c>
    </row>
    <row r="57" spans="1:4" ht="12.75" x14ac:dyDescent="0.2">
      <c r="A57" s="2" t="s">
        <v>58</v>
      </c>
      <c r="B57" s="2">
        <v>1</v>
      </c>
      <c r="C57" cm="1">
        <f t="array" ref="C57">_xlfn.IFS(LEFT(A57,1)&lt;="F",0,LEFT(A57,1)&lt;="M",1,LEFT(A57,1)&lt;="Z",2)</f>
        <v>2</v>
      </c>
      <c r="D57" cm="1">
        <f t="array" ref="D57">_xlfn.IFS(C57=0,B57*4,C57=1,B57*3,C57=2,B57*2)</f>
        <v>2</v>
      </c>
    </row>
    <row r="58" spans="1:4" ht="12.75" x14ac:dyDescent="0.2">
      <c r="A58" s="2" t="s">
        <v>59</v>
      </c>
      <c r="B58" s="2">
        <v>2</v>
      </c>
      <c r="C58" cm="1">
        <f t="array" ref="C58">_xlfn.IFS(LEFT(A58,1)&lt;="F",0,LEFT(A58,1)&lt;="M",1,LEFT(A58,1)&lt;="Z",2)</f>
        <v>2</v>
      </c>
      <c r="D58" cm="1">
        <f t="array" ref="D58">_xlfn.IFS(C58=0,B58*4,C58=1,B58*3,C58=2,B58*2)</f>
        <v>4</v>
      </c>
    </row>
    <row r="59" spans="1:4" ht="12.75" x14ac:dyDescent="0.2">
      <c r="A59" s="2" t="s">
        <v>60</v>
      </c>
      <c r="B59" s="2">
        <v>3</v>
      </c>
      <c r="C59" cm="1">
        <f t="array" ref="C59">_xlfn.IFS(LEFT(A59,1)&lt;="F",0,LEFT(A59,1)&lt;="M",1,LEFT(A59,1)&lt;="Z",2)</f>
        <v>2</v>
      </c>
      <c r="D59" cm="1">
        <f t="array" ref="D59">_xlfn.IFS(C59=0,B59*4,C59=1,B59*3,C59=2,B59*2)</f>
        <v>6</v>
      </c>
    </row>
    <row r="60" spans="1:4" ht="12.75" x14ac:dyDescent="0.2">
      <c r="A60" s="2" t="s">
        <v>61</v>
      </c>
      <c r="B60" s="2">
        <v>4</v>
      </c>
      <c r="C60" cm="1">
        <f t="array" ref="C60">_xlfn.IFS(LEFT(A60,1)&lt;="F",0,LEFT(A60,1)&lt;="M",1,LEFT(A60,1)&lt;="Z",2)</f>
        <v>0</v>
      </c>
      <c r="D60" cm="1">
        <f t="array" ref="D60">_xlfn.IFS(C60=0,B60*4,C60=1,B60*3,C60=2,B60*2)</f>
        <v>16</v>
      </c>
    </row>
    <row r="61" spans="1:4" ht="12.75" x14ac:dyDescent="0.2">
      <c r="A61" s="2" t="s">
        <v>62</v>
      </c>
      <c r="B61" s="2">
        <v>5</v>
      </c>
      <c r="C61" cm="1">
        <f t="array" ref="C61">_xlfn.IFS(LEFT(A61,1)&lt;="F",0,LEFT(A61,1)&lt;="M",1,LEFT(A61,1)&lt;="Z",2)</f>
        <v>0</v>
      </c>
      <c r="D61" cm="1">
        <f t="array" ref="D61">_xlfn.IFS(C61=0,B61*4,C61=1,B61*3,C61=2,B61*2)</f>
        <v>20</v>
      </c>
    </row>
    <row r="62" spans="1:4" ht="12.75" x14ac:dyDescent="0.2">
      <c r="A62" s="2" t="s">
        <v>63</v>
      </c>
      <c r="B62" s="2">
        <v>6</v>
      </c>
      <c r="C62" cm="1">
        <f t="array" ref="C62">_xlfn.IFS(LEFT(A62,1)&lt;="F",0,LEFT(A62,1)&lt;="M",1,LEFT(A62,1)&lt;="Z",2)</f>
        <v>0</v>
      </c>
      <c r="D62" cm="1">
        <f t="array" ref="D62">_xlfn.IFS(C62=0,B62*4,C62=1,B62*3,C62=2,B62*2)</f>
        <v>24</v>
      </c>
    </row>
    <row r="63" spans="1:4" ht="12.75" x14ac:dyDescent="0.2">
      <c r="A63" s="2" t="s">
        <v>64</v>
      </c>
      <c r="B63" s="2">
        <v>7</v>
      </c>
      <c r="C63" cm="1">
        <f t="array" ref="C63">_xlfn.IFS(LEFT(A63,1)&lt;="F",0,LEFT(A63,1)&lt;="M",1,LEFT(A63,1)&lt;="Z",2)</f>
        <v>1</v>
      </c>
      <c r="D63" cm="1">
        <f t="array" ref="D63">_xlfn.IFS(C63=0,B63*4,C63=1,B63*3,C63=2,B63*2)</f>
        <v>21</v>
      </c>
    </row>
    <row r="64" spans="1:4" ht="12.75" x14ac:dyDescent="0.2">
      <c r="A64" s="2" t="s">
        <v>65</v>
      </c>
      <c r="B64" s="2">
        <v>8</v>
      </c>
      <c r="C64" cm="1">
        <f t="array" ref="C64">_xlfn.IFS(LEFT(A64,1)&lt;="F",0,LEFT(A64,1)&lt;="M",1,LEFT(A64,1)&lt;="Z",2)</f>
        <v>1</v>
      </c>
      <c r="D64" cm="1">
        <f t="array" ref="D64">_xlfn.IFS(C64=0,B64*4,C64=1,B64*3,C64=2,B64*2)</f>
        <v>24</v>
      </c>
    </row>
    <row r="65" spans="1:4" ht="12.75" x14ac:dyDescent="0.2">
      <c r="A65" s="2" t="s">
        <v>66</v>
      </c>
      <c r="B65" s="2">
        <v>9</v>
      </c>
      <c r="C65" cm="1">
        <f t="array" ref="C65">_xlfn.IFS(LEFT(A65,1)&lt;="F",0,LEFT(A65,1)&lt;="M",1,LEFT(A65,1)&lt;="Z",2)</f>
        <v>1</v>
      </c>
      <c r="D65" cm="1">
        <f t="array" ref="D65">_xlfn.IFS(C65=0,B65*4,C65=1,B65*3,C65=2,B65*2)</f>
        <v>27</v>
      </c>
    </row>
    <row r="66" spans="1:4" ht="12.75" x14ac:dyDescent="0.2">
      <c r="A66" s="2" t="s">
        <v>67</v>
      </c>
      <c r="B66" s="2">
        <v>10</v>
      </c>
      <c r="C66" cm="1">
        <f t="array" ref="C66">_xlfn.IFS(LEFT(A66,1)&lt;="F",0,LEFT(A66,1)&lt;="M",1,LEFT(A66,1)&lt;="Z",2)</f>
        <v>1</v>
      </c>
      <c r="D66" cm="1">
        <f t="array" ref="D66">_xlfn.IFS(C66=0,B66*4,C66=1,B66*3,C66=2,B66*2)</f>
        <v>30</v>
      </c>
    </row>
    <row r="67" spans="1:4" ht="12.75" x14ac:dyDescent="0.2">
      <c r="A67" s="2" t="s">
        <v>68</v>
      </c>
      <c r="B67" s="2">
        <v>0.5</v>
      </c>
      <c r="C67" cm="1">
        <f t="array" ref="C67">_xlfn.IFS(LEFT(A67,1)&lt;="F",0,LEFT(A67,1)&lt;="M",1,LEFT(A67,1)&lt;="Z",2)</f>
        <v>2</v>
      </c>
      <c r="D67" cm="1">
        <f t="array" ref="D67">_xlfn.IFS(C67=0,B67*4,C67=1,B67*3,C67=2,B67*2)</f>
        <v>1</v>
      </c>
    </row>
    <row r="68" spans="1:4" ht="12.75" x14ac:dyDescent="0.2">
      <c r="A68" s="2" t="s">
        <v>69</v>
      </c>
      <c r="B68" s="2">
        <v>1</v>
      </c>
      <c r="C68" cm="1">
        <f t="array" ref="C68">_xlfn.IFS(LEFT(A68,1)&lt;="F",0,LEFT(A68,1)&lt;="M",1,LEFT(A68,1)&lt;="Z",2)</f>
        <v>2</v>
      </c>
      <c r="D68" cm="1">
        <f t="array" ref="D68">_xlfn.IFS(C68=0,B68*4,C68=1,B68*3,C68=2,B68*2)</f>
        <v>2</v>
      </c>
    </row>
    <row r="69" spans="1:4" ht="12.75" x14ac:dyDescent="0.2">
      <c r="A69" s="2" t="s">
        <v>70</v>
      </c>
      <c r="B69" s="2">
        <v>2</v>
      </c>
      <c r="C69" cm="1">
        <f t="array" ref="C69">_xlfn.IFS(LEFT(A69,1)&lt;="F",0,LEFT(A69,1)&lt;="M",1,LEFT(A69,1)&lt;="Z",2)</f>
        <v>2</v>
      </c>
      <c r="D69" cm="1">
        <f t="array" ref="D69">_xlfn.IFS(C69=0,B69*4,C69=1,B69*3,C69=2,B69*2)</f>
        <v>4</v>
      </c>
    </row>
    <row r="70" spans="1:4" ht="12.75" x14ac:dyDescent="0.2">
      <c r="A70" s="2" t="s">
        <v>71</v>
      </c>
      <c r="B70" s="2">
        <v>3</v>
      </c>
      <c r="C70" cm="1">
        <f t="array" ref="C70">_xlfn.IFS(LEFT(A70,1)&lt;="F",0,LEFT(A70,1)&lt;="M",1,LEFT(A70,1)&lt;="Z",2)</f>
        <v>2</v>
      </c>
      <c r="D70" cm="1">
        <f t="array" ref="D70">_xlfn.IFS(C70=0,B70*4,C70=1,B70*3,C70=2,B70*2)</f>
        <v>6</v>
      </c>
    </row>
    <row r="71" spans="1:4" ht="12.75" x14ac:dyDescent="0.2">
      <c r="A71" s="2" t="s">
        <v>72</v>
      </c>
      <c r="B71" s="2">
        <v>4</v>
      </c>
      <c r="C71" cm="1">
        <f t="array" ref="C71">_xlfn.IFS(LEFT(A71,1)&lt;="F",0,LEFT(A71,1)&lt;="M",1,LEFT(A71,1)&lt;="Z",2)</f>
        <v>2</v>
      </c>
      <c r="D71" cm="1">
        <f t="array" ref="D71">_xlfn.IFS(C71=0,B71*4,C71=1,B71*3,C71=2,B71*2)</f>
        <v>8</v>
      </c>
    </row>
    <row r="72" spans="1:4" ht="12.75" x14ac:dyDescent="0.2">
      <c r="A72" s="2" t="s">
        <v>73</v>
      </c>
      <c r="B72" s="2">
        <v>5</v>
      </c>
      <c r="C72" cm="1">
        <f t="array" ref="C72">_xlfn.IFS(LEFT(A72,1)&lt;="F",0,LEFT(A72,1)&lt;="M",1,LEFT(A72,1)&lt;="Z",2)</f>
        <v>2</v>
      </c>
      <c r="D72" cm="1">
        <f t="array" ref="D72">_xlfn.IFS(C72=0,B72*4,C72=1,B72*3,C72=2,B72*2)</f>
        <v>10</v>
      </c>
    </row>
    <row r="73" spans="1:4" ht="12.75" x14ac:dyDescent="0.2">
      <c r="A73" s="2" t="s">
        <v>74</v>
      </c>
      <c r="B73" s="2">
        <v>6</v>
      </c>
      <c r="C73" cm="1">
        <f t="array" ref="C73">_xlfn.IFS(LEFT(A73,1)&lt;="F",0,LEFT(A73,1)&lt;="M",1,LEFT(A73,1)&lt;="Z",2)</f>
        <v>0</v>
      </c>
      <c r="D73" cm="1">
        <f t="array" ref="D73">_xlfn.IFS(C73=0,B73*4,C73=1,B73*3,C73=2,B73*2)</f>
        <v>24</v>
      </c>
    </row>
    <row r="74" spans="1:4" ht="12.75" x14ac:dyDescent="0.2">
      <c r="A74" s="2" t="s">
        <v>75</v>
      </c>
      <c r="B74" s="2">
        <v>7</v>
      </c>
      <c r="C74" cm="1">
        <f t="array" ref="C74">_xlfn.IFS(LEFT(A74,1)&lt;="F",0,LEFT(A74,1)&lt;="M",1,LEFT(A74,1)&lt;="Z",2)</f>
        <v>0</v>
      </c>
      <c r="D74" cm="1">
        <f t="array" ref="D74">_xlfn.IFS(C74=0,B74*4,C74=1,B74*3,C74=2,B74*2)</f>
        <v>28</v>
      </c>
    </row>
    <row r="75" spans="1:4" ht="12.75" x14ac:dyDescent="0.2">
      <c r="A75" s="2" t="s">
        <v>76</v>
      </c>
      <c r="B75" s="2">
        <v>8</v>
      </c>
      <c r="C75" cm="1">
        <f t="array" ref="C75">_xlfn.IFS(LEFT(A75,1)&lt;="F",0,LEFT(A75,1)&lt;="M",1,LEFT(A75,1)&lt;="Z",2)</f>
        <v>0</v>
      </c>
      <c r="D75" cm="1">
        <f t="array" ref="D75">_xlfn.IFS(C75=0,B75*4,C75=1,B75*3,C75=2,B75*2)</f>
        <v>32</v>
      </c>
    </row>
    <row r="76" spans="1:4" ht="12.75" x14ac:dyDescent="0.2">
      <c r="A76" s="2" t="s">
        <v>77</v>
      </c>
      <c r="B76" s="2">
        <v>9</v>
      </c>
      <c r="C76" cm="1">
        <f t="array" ref="C76">_xlfn.IFS(LEFT(A76,1)&lt;="F",0,LEFT(A76,1)&lt;="M",1,LEFT(A76,1)&lt;="Z",2)</f>
        <v>1</v>
      </c>
      <c r="D76" cm="1">
        <f t="array" ref="D76">_xlfn.IFS(C76=0,B76*4,C76=1,B76*3,C76=2,B76*2)</f>
        <v>27</v>
      </c>
    </row>
    <row r="77" spans="1:4" ht="12.75" x14ac:dyDescent="0.2">
      <c r="A77" s="2" t="s">
        <v>78</v>
      </c>
      <c r="B77" s="2">
        <v>10</v>
      </c>
      <c r="C77" cm="1">
        <f t="array" ref="C77">_xlfn.IFS(LEFT(A77,1)&lt;="F",0,LEFT(A77,1)&lt;="M",1,LEFT(A77,1)&lt;="Z",2)</f>
        <v>1</v>
      </c>
      <c r="D77" cm="1">
        <f t="array" ref="D77">_xlfn.IFS(C77=0,B77*4,C77=1,B77*3,C77=2,B77*2)</f>
        <v>30</v>
      </c>
    </row>
    <row r="78" spans="1:4" ht="12.75" x14ac:dyDescent="0.2">
      <c r="A78" s="2" t="s">
        <v>79</v>
      </c>
      <c r="B78" s="2">
        <v>0.5</v>
      </c>
      <c r="C78" cm="1">
        <f t="array" ref="C78">_xlfn.IFS(LEFT(A78,1)&lt;="F",0,LEFT(A78,1)&lt;="M",1,LEFT(A78,1)&lt;="Z",2)</f>
        <v>1</v>
      </c>
      <c r="D78" cm="1">
        <f t="array" ref="D78">_xlfn.IFS(C78=0,B78*4,C78=1,B78*3,C78=2,B78*2)</f>
        <v>1.5</v>
      </c>
    </row>
    <row r="79" spans="1:4" ht="12.75" x14ac:dyDescent="0.2">
      <c r="A79" s="2" t="s">
        <v>80</v>
      </c>
      <c r="B79" s="2">
        <v>1</v>
      </c>
      <c r="C79" cm="1">
        <f t="array" ref="C79">_xlfn.IFS(LEFT(A79,1)&lt;="F",0,LEFT(A79,1)&lt;="M",1,LEFT(A79,1)&lt;="Z",2)</f>
        <v>1</v>
      </c>
      <c r="D79" cm="1">
        <f t="array" ref="D79">_xlfn.IFS(C79=0,B79*4,C79=1,B79*3,C79=2,B79*2)</f>
        <v>3</v>
      </c>
    </row>
    <row r="80" spans="1:4" ht="12.75" x14ac:dyDescent="0.2">
      <c r="A80" s="2" t="s">
        <v>81</v>
      </c>
      <c r="B80" s="2">
        <v>2</v>
      </c>
      <c r="C80" cm="1">
        <f t="array" ref="C80">_xlfn.IFS(LEFT(A80,1)&lt;="F",0,LEFT(A80,1)&lt;="M",1,LEFT(A80,1)&lt;="Z",2)</f>
        <v>2</v>
      </c>
      <c r="D80" cm="1">
        <f t="array" ref="D80">_xlfn.IFS(C80=0,B80*4,C80=1,B80*3,C80=2,B80*2)</f>
        <v>4</v>
      </c>
    </row>
    <row r="81" spans="1:4" ht="12.75" x14ac:dyDescent="0.2">
      <c r="A81" s="2" t="s">
        <v>82</v>
      </c>
      <c r="B81" s="2">
        <v>3</v>
      </c>
      <c r="C81" cm="1">
        <f t="array" ref="C81">_xlfn.IFS(LEFT(A81,1)&lt;="F",0,LEFT(A81,1)&lt;="M",1,LEFT(A81,1)&lt;="Z",2)</f>
        <v>2</v>
      </c>
      <c r="D81" cm="1">
        <f t="array" ref="D81">_xlfn.IFS(C81=0,B81*4,C81=1,B81*3,C81=2,B81*2)</f>
        <v>6</v>
      </c>
    </row>
    <row r="82" spans="1:4" ht="12.75" x14ac:dyDescent="0.2">
      <c r="A82" s="2" t="s">
        <v>83</v>
      </c>
      <c r="B82" s="2">
        <v>4</v>
      </c>
      <c r="C82" cm="1">
        <f t="array" ref="C82">_xlfn.IFS(LEFT(A82,1)&lt;="F",0,LEFT(A82,1)&lt;="M",1,LEFT(A82,1)&lt;="Z",2)</f>
        <v>2</v>
      </c>
      <c r="D82" cm="1">
        <f t="array" ref="D82">_xlfn.IFS(C82=0,B82*4,C82=1,B82*3,C82=2,B82*2)</f>
        <v>8</v>
      </c>
    </row>
    <row r="83" spans="1:4" ht="12.75" x14ac:dyDescent="0.2">
      <c r="A83" s="2" t="s">
        <v>84</v>
      </c>
      <c r="B83" s="2">
        <v>5</v>
      </c>
      <c r="C83" cm="1">
        <f t="array" ref="C83">_xlfn.IFS(LEFT(A83,1)&lt;="F",0,LEFT(A83,1)&lt;="M",1,LEFT(A83,1)&lt;="Z",2)</f>
        <v>2</v>
      </c>
      <c r="D83" cm="1">
        <f t="array" ref="D83">_xlfn.IFS(C83=0,B83*4,C83=1,B83*3,C83=2,B83*2)</f>
        <v>10</v>
      </c>
    </row>
    <row r="84" spans="1:4" ht="12.75" x14ac:dyDescent="0.2">
      <c r="A84" s="2" t="s">
        <v>85</v>
      </c>
      <c r="B84" s="2">
        <v>6</v>
      </c>
      <c r="C84" cm="1">
        <f t="array" ref="C84">_xlfn.IFS(LEFT(A84,1)&lt;="F",0,LEFT(A84,1)&lt;="M",1,LEFT(A84,1)&lt;="Z",2)</f>
        <v>2</v>
      </c>
      <c r="D84" cm="1">
        <f t="array" ref="D84">_xlfn.IFS(C84=0,B84*4,C84=1,B84*3,C84=2,B84*2)</f>
        <v>12</v>
      </c>
    </row>
    <row r="85" spans="1:4" ht="12.75" x14ac:dyDescent="0.2">
      <c r="A85" s="2" t="s">
        <v>86</v>
      </c>
      <c r="B85" s="2">
        <v>7</v>
      </c>
      <c r="C85" cm="1">
        <f t="array" ref="C85">_xlfn.IFS(LEFT(A85,1)&lt;="F",0,LEFT(A85,1)&lt;="M",1,LEFT(A85,1)&lt;="Z",2)</f>
        <v>2</v>
      </c>
      <c r="D85" cm="1">
        <f t="array" ref="D85">_xlfn.IFS(C85=0,B85*4,C85=1,B85*3,C85=2,B85*2)</f>
        <v>14</v>
      </c>
    </row>
    <row r="86" spans="1:4" ht="12.75" x14ac:dyDescent="0.2">
      <c r="A86" s="2" t="s">
        <v>87</v>
      </c>
      <c r="B86" s="2">
        <v>8</v>
      </c>
      <c r="C86" cm="1">
        <f t="array" ref="C86">_xlfn.IFS(LEFT(A86,1)&lt;="F",0,LEFT(A86,1)&lt;="M",1,LEFT(A86,1)&lt;="Z",2)</f>
        <v>0</v>
      </c>
      <c r="D86" cm="1">
        <f t="array" ref="D86">_xlfn.IFS(C86=0,B86*4,C86=1,B86*3,C86=2,B86*2)</f>
        <v>32</v>
      </c>
    </row>
    <row r="87" spans="1:4" ht="12.75" x14ac:dyDescent="0.2">
      <c r="A87" s="2" t="s">
        <v>88</v>
      </c>
      <c r="B87" s="2">
        <v>9</v>
      </c>
      <c r="C87" cm="1">
        <f t="array" ref="C87">_xlfn.IFS(LEFT(A87,1)&lt;="F",0,LEFT(A87,1)&lt;="M",1,LEFT(A87,1)&lt;="Z",2)</f>
        <v>0</v>
      </c>
      <c r="D87" cm="1">
        <f t="array" ref="D87">_xlfn.IFS(C87=0,B87*4,C87=1,B87*3,C87=2,B87*2)</f>
        <v>36</v>
      </c>
    </row>
    <row r="88" spans="1:4" ht="12.75" x14ac:dyDescent="0.2">
      <c r="A88" s="2" t="s">
        <v>89</v>
      </c>
      <c r="B88" s="2">
        <v>10</v>
      </c>
      <c r="C88" cm="1">
        <f t="array" ref="C88">_xlfn.IFS(LEFT(A88,1)&lt;="F",0,LEFT(A88,1)&lt;="M",1,LEFT(A88,1)&lt;="Z",2)</f>
        <v>0</v>
      </c>
      <c r="D88" cm="1">
        <f t="array" ref="D88">_xlfn.IFS(C88=0,B88*4,C88=1,B88*3,C88=2,B88*2)</f>
        <v>40</v>
      </c>
    </row>
    <row r="89" spans="1:4" ht="12.75" x14ac:dyDescent="0.2">
      <c r="A89" s="2" t="s">
        <v>90</v>
      </c>
      <c r="B89" s="2">
        <v>0.5</v>
      </c>
      <c r="C89" cm="1">
        <f t="array" ref="C89">_xlfn.IFS(LEFT(A89,1)&lt;="F",0,LEFT(A89,1)&lt;="M",1,LEFT(A89,1)&lt;="Z",2)</f>
        <v>1</v>
      </c>
      <c r="D89" cm="1">
        <f t="array" ref="D89">_xlfn.IFS(C89=0,B89*4,C89=1,B89*3,C89=2,B89*2)</f>
        <v>1.5</v>
      </c>
    </row>
    <row r="90" spans="1:4" ht="12.75" x14ac:dyDescent="0.2">
      <c r="A90" s="2" t="s">
        <v>91</v>
      </c>
      <c r="B90" s="2">
        <v>1</v>
      </c>
      <c r="C90" cm="1">
        <f t="array" ref="C90">_xlfn.IFS(LEFT(A90,1)&lt;="F",0,LEFT(A90,1)&lt;="M",1,LEFT(A90,1)&lt;="Z",2)</f>
        <v>1</v>
      </c>
      <c r="D90" cm="1">
        <f t="array" ref="D90">_xlfn.IFS(C90=0,B90*4,C90=1,B90*3,C90=2,B90*2)</f>
        <v>3</v>
      </c>
    </row>
    <row r="91" spans="1:4" ht="12.75" x14ac:dyDescent="0.2">
      <c r="A91" s="2" t="s">
        <v>92</v>
      </c>
      <c r="B91" s="2">
        <v>2</v>
      </c>
      <c r="C91" cm="1">
        <f t="array" ref="C91">_xlfn.IFS(LEFT(A91,1)&lt;="F",0,LEFT(A91,1)&lt;="M",1,LEFT(A91,1)&lt;="Z",2)</f>
        <v>1</v>
      </c>
      <c r="D91" cm="1">
        <f t="array" ref="D91">_xlfn.IFS(C91=0,B91*4,C91=1,B91*3,C91=2,B91*2)</f>
        <v>6</v>
      </c>
    </row>
    <row r="92" spans="1:4" ht="12.75" x14ac:dyDescent="0.2">
      <c r="A92" s="2" t="s">
        <v>93</v>
      </c>
      <c r="B92" s="2">
        <v>3</v>
      </c>
      <c r="C92" cm="1">
        <f t="array" ref="C92">_xlfn.IFS(LEFT(A92,1)&lt;="F",0,LEFT(A92,1)&lt;="M",1,LEFT(A92,1)&lt;="Z",2)</f>
        <v>1</v>
      </c>
      <c r="D92" cm="1">
        <f t="array" ref="D92">_xlfn.IFS(C92=0,B92*4,C92=1,B92*3,C92=2,B92*2)</f>
        <v>9</v>
      </c>
    </row>
    <row r="93" spans="1:4" ht="12.75" x14ac:dyDescent="0.2">
      <c r="A93" s="2" t="s">
        <v>94</v>
      </c>
      <c r="B93" s="2">
        <v>4</v>
      </c>
      <c r="C93" cm="1">
        <f t="array" ref="C93">_xlfn.IFS(LEFT(A93,1)&lt;="F",0,LEFT(A93,1)&lt;="M",1,LEFT(A93,1)&lt;="Z",2)</f>
        <v>2</v>
      </c>
      <c r="D93" cm="1">
        <f t="array" ref="D93">_xlfn.IFS(C93=0,B93*4,C93=1,B93*3,C93=2,B93*2)</f>
        <v>8</v>
      </c>
    </row>
    <row r="94" spans="1:4" ht="12.75" x14ac:dyDescent="0.2">
      <c r="A94" s="2" t="s">
        <v>95</v>
      </c>
      <c r="B94" s="2">
        <v>5</v>
      </c>
      <c r="C94" cm="1">
        <f t="array" ref="C94">_xlfn.IFS(LEFT(A94,1)&lt;="F",0,LEFT(A94,1)&lt;="M",1,LEFT(A94,1)&lt;="Z",2)</f>
        <v>2</v>
      </c>
      <c r="D94" cm="1">
        <f t="array" ref="D94">_xlfn.IFS(C94=0,B94*4,C94=1,B94*3,C94=2,B94*2)</f>
        <v>10</v>
      </c>
    </row>
    <row r="95" spans="1:4" ht="12.75" x14ac:dyDescent="0.2">
      <c r="A95" s="2" t="s">
        <v>96</v>
      </c>
      <c r="B95" s="2">
        <v>6</v>
      </c>
      <c r="C95" cm="1">
        <f t="array" ref="C95">_xlfn.IFS(LEFT(A95,1)&lt;="F",0,LEFT(A95,1)&lt;="M",1,LEFT(A95,1)&lt;="Z",2)</f>
        <v>2</v>
      </c>
      <c r="D95" cm="1">
        <f t="array" ref="D95">_xlfn.IFS(C95=0,B95*4,C95=1,B95*3,C95=2,B95*2)</f>
        <v>12</v>
      </c>
    </row>
    <row r="96" spans="1:4" ht="12.75" x14ac:dyDescent="0.2">
      <c r="A96" s="2" t="s">
        <v>97</v>
      </c>
      <c r="B96" s="2">
        <v>7</v>
      </c>
      <c r="C96" cm="1">
        <f t="array" ref="C96">_xlfn.IFS(LEFT(A96,1)&lt;="F",0,LEFT(A96,1)&lt;="M",1,LEFT(A96,1)&lt;="Z",2)</f>
        <v>2</v>
      </c>
      <c r="D96" cm="1">
        <f t="array" ref="D96">_xlfn.IFS(C96=0,B96*4,C96=1,B96*3,C96=2,B96*2)</f>
        <v>14</v>
      </c>
    </row>
    <row r="97" spans="1:4" ht="12.75" x14ac:dyDescent="0.2">
      <c r="A97" s="2" t="s">
        <v>98</v>
      </c>
      <c r="B97" s="2">
        <v>8</v>
      </c>
      <c r="C97" cm="1">
        <f t="array" ref="C97">_xlfn.IFS(LEFT(A97,1)&lt;="F",0,LEFT(A97,1)&lt;="M",1,LEFT(A97,1)&lt;="Z",2)</f>
        <v>2</v>
      </c>
      <c r="D97" cm="1">
        <f t="array" ref="D97">_xlfn.IFS(C97=0,B97*4,C97=1,B97*3,C97=2,B97*2)</f>
        <v>16</v>
      </c>
    </row>
    <row r="98" spans="1:4" ht="12.75" x14ac:dyDescent="0.2">
      <c r="A98" s="2" t="s">
        <v>99</v>
      </c>
      <c r="B98" s="2">
        <v>9</v>
      </c>
      <c r="C98" cm="1">
        <f t="array" ref="C98">_xlfn.IFS(LEFT(A98,1)&lt;="F",0,LEFT(A98,1)&lt;="M",1,LEFT(A98,1)&lt;="Z",2)</f>
        <v>2</v>
      </c>
      <c r="D98" cm="1">
        <f t="array" ref="D98">_xlfn.IFS(C98=0,B98*4,C98=1,B98*3,C98=2,B98*2)</f>
        <v>18</v>
      </c>
    </row>
    <row r="99" spans="1:4" ht="12.75" x14ac:dyDescent="0.2">
      <c r="A99" s="2" t="s">
        <v>100</v>
      </c>
      <c r="B99" s="2">
        <v>10</v>
      </c>
      <c r="C99" cm="1">
        <f t="array" ref="C99">_xlfn.IFS(LEFT(A99,1)&lt;="F",0,LEFT(A99,1)&lt;="M",1,LEFT(A99,1)&lt;="Z",2)</f>
        <v>0</v>
      </c>
      <c r="D99" cm="1">
        <f t="array" ref="D99">_xlfn.IFS(C99=0,B99*4,C99=1,B99*3,C99=2,B99*2)</f>
        <v>40</v>
      </c>
    </row>
    <row r="100" spans="1:4" ht="12.75" x14ac:dyDescent="0.2">
      <c r="A100" s="2" t="s">
        <v>101</v>
      </c>
      <c r="B100" s="2">
        <v>0.5</v>
      </c>
      <c r="C100" cm="1">
        <f t="array" ref="C100">_xlfn.IFS(LEFT(A100,1)&lt;="F",0,LEFT(A100,1)&lt;="M",1,LEFT(A100,1)&lt;="Z",2)</f>
        <v>0</v>
      </c>
      <c r="D100" cm="1">
        <f t="array" ref="D100">_xlfn.IFS(C100=0,B100*4,C100=1,B100*3,C100=2,B100*2)</f>
        <v>2</v>
      </c>
    </row>
    <row r="101" spans="1:4" ht="12.75" x14ac:dyDescent="0.2">
      <c r="A101" s="2" t="s">
        <v>102</v>
      </c>
      <c r="B101" s="2">
        <v>1</v>
      </c>
      <c r="C101" cm="1">
        <f t="array" ref="C101">_xlfn.IFS(LEFT(A101,1)&lt;="F",0,LEFT(A101,1)&lt;="M",1,LEFT(A101,1)&lt;="Z",2)</f>
        <v>0</v>
      </c>
      <c r="D101" cm="1">
        <f t="array" ref="D101">_xlfn.IFS(C101=0,B101*4,C101=1,B101*3,C101=2,B101*2)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workbookViewId="0">
      <selection activeCell="G2" sqref="G2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103</v>
      </c>
      <c r="B1" s="1" t="s">
        <v>104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105</v>
      </c>
      <c r="B2" s="2">
        <v>55</v>
      </c>
      <c r="D2" t="s">
        <v>107</v>
      </c>
      <c r="E2">
        <f>COUNTIF(A:A,D2)</f>
        <v>11</v>
      </c>
      <c r="F2" s="4">
        <f>SUMIF(A:A,D2,C:C)</f>
        <v>495</v>
      </c>
      <c r="G2" s="4">
        <f>SUMIFS(C:C,A:A,D2,B:B,"&gt;80")</f>
        <v>0</v>
      </c>
    </row>
    <row r="3" spans="1:26" ht="12.75" x14ac:dyDescent="0.2">
      <c r="A3" s="2" t="s">
        <v>106</v>
      </c>
      <c r="B3" s="2">
        <v>70</v>
      </c>
      <c r="C3" s="2">
        <v>80</v>
      </c>
      <c r="D3" t="s">
        <v>106</v>
      </c>
      <c r="E3">
        <f t="shared" ref="E3:E6" si="0">COUNTIF(A:A,D3)</f>
        <v>14</v>
      </c>
      <c r="F3" s="4">
        <f t="shared" ref="F3:F6" si="1">SUMIF(A:A,D3,C:C)</f>
        <v>815</v>
      </c>
      <c r="G3" s="4">
        <f t="shared" ref="G3:G6" si="2">SUMIFS(C:C,A:A,D3,B:B,"&gt;80")</f>
        <v>75</v>
      </c>
    </row>
    <row r="4" spans="1:26" ht="12.75" x14ac:dyDescent="0.2">
      <c r="A4" s="2" t="s">
        <v>107</v>
      </c>
      <c r="B4" s="2">
        <v>40</v>
      </c>
      <c r="C4" s="2">
        <v>60</v>
      </c>
      <c r="D4" t="s">
        <v>105</v>
      </c>
      <c r="E4">
        <f t="shared" si="0"/>
        <v>11</v>
      </c>
      <c r="F4" s="4">
        <f t="shared" si="1"/>
        <v>555</v>
      </c>
      <c r="G4" s="4">
        <f t="shared" si="2"/>
        <v>0</v>
      </c>
    </row>
    <row r="5" spans="1:26" ht="12.75" x14ac:dyDescent="0.2">
      <c r="A5" s="2" t="s">
        <v>105</v>
      </c>
      <c r="B5" s="2">
        <v>20</v>
      </c>
      <c r="C5" s="2">
        <v>100</v>
      </c>
      <c r="D5" t="s">
        <v>108</v>
      </c>
      <c r="E5">
        <f t="shared" si="0"/>
        <v>7</v>
      </c>
      <c r="F5" s="4">
        <f t="shared" si="1"/>
        <v>225</v>
      </c>
      <c r="G5" s="4">
        <f t="shared" si="2"/>
        <v>30</v>
      </c>
    </row>
    <row r="6" spans="1:26" ht="12.75" x14ac:dyDescent="0.2">
      <c r="A6" s="2" t="s">
        <v>108</v>
      </c>
      <c r="B6" s="2">
        <v>90</v>
      </c>
      <c r="C6" s="2">
        <v>30</v>
      </c>
      <c r="D6" t="s">
        <v>109</v>
      </c>
      <c r="E6">
        <f t="shared" si="0"/>
        <v>3</v>
      </c>
      <c r="F6" s="4">
        <f t="shared" si="1"/>
        <v>150</v>
      </c>
      <c r="G6" s="4">
        <f t="shared" si="2"/>
        <v>0</v>
      </c>
    </row>
    <row r="7" spans="1:26" ht="12.75" x14ac:dyDescent="0.2">
      <c r="A7" s="2" t="s">
        <v>106</v>
      </c>
      <c r="B7" s="2">
        <v>50</v>
      </c>
      <c r="C7" s="2">
        <v>40</v>
      </c>
    </row>
    <row r="8" spans="1:26" ht="12.75" x14ac:dyDescent="0.2">
      <c r="A8" s="2" t="s">
        <v>107</v>
      </c>
      <c r="B8" s="2">
        <v>60</v>
      </c>
      <c r="C8" s="2">
        <v>55</v>
      </c>
    </row>
    <row r="9" spans="1:26" ht="12.75" x14ac:dyDescent="0.2">
      <c r="A9" s="2" t="s">
        <v>105</v>
      </c>
      <c r="B9" s="2">
        <v>45</v>
      </c>
    </row>
    <row r="10" spans="1:26" ht="12.75" x14ac:dyDescent="0.2">
      <c r="A10" s="2" t="s">
        <v>106</v>
      </c>
      <c r="B10" s="2">
        <v>25</v>
      </c>
      <c r="C10" s="2">
        <v>85</v>
      </c>
    </row>
    <row r="11" spans="1:26" ht="12.75" x14ac:dyDescent="0.2">
      <c r="A11" s="2" t="s">
        <v>108</v>
      </c>
      <c r="B11" s="2">
        <v>35</v>
      </c>
      <c r="C11" s="2">
        <v>50</v>
      </c>
    </row>
    <row r="12" spans="1:26" ht="12.75" x14ac:dyDescent="0.2">
      <c r="A12" s="2" t="s">
        <v>109</v>
      </c>
      <c r="B12" s="2">
        <v>60</v>
      </c>
      <c r="C12" s="2">
        <v>95</v>
      </c>
    </row>
    <row r="13" spans="1:26" ht="12.75" x14ac:dyDescent="0.2">
      <c r="A13" s="2" t="s">
        <v>107</v>
      </c>
      <c r="B13" s="2">
        <v>80</v>
      </c>
    </row>
    <row r="14" spans="1:26" ht="12.75" x14ac:dyDescent="0.2">
      <c r="A14" s="2" t="s">
        <v>106</v>
      </c>
      <c r="B14" s="2">
        <v>40</v>
      </c>
      <c r="C14" s="2">
        <v>45</v>
      </c>
    </row>
    <row r="15" spans="1:26" ht="12.75" x14ac:dyDescent="0.2">
      <c r="A15" s="2" t="s">
        <v>105</v>
      </c>
      <c r="B15" s="2">
        <v>65</v>
      </c>
      <c r="C15" s="2">
        <v>65</v>
      </c>
    </row>
    <row r="16" spans="1:26" ht="12.75" x14ac:dyDescent="0.2">
      <c r="A16" s="2" t="s">
        <v>107</v>
      </c>
      <c r="B16" s="2">
        <v>55</v>
      </c>
      <c r="C16" s="2">
        <v>30</v>
      </c>
    </row>
    <row r="17" spans="1:3" ht="12.75" x14ac:dyDescent="0.2">
      <c r="A17" s="2" t="s">
        <v>108</v>
      </c>
      <c r="B17" s="2">
        <v>70</v>
      </c>
    </row>
    <row r="18" spans="1:3" ht="12.75" x14ac:dyDescent="0.2">
      <c r="A18" s="2" t="s">
        <v>106</v>
      </c>
      <c r="B18" s="2">
        <v>45</v>
      </c>
      <c r="C18" s="2">
        <v>80</v>
      </c>
    </row>
    <row r="19" spans="1:3" ht="12.75" x14ac:dyDescent="0.2">
      <c r="A19" s="2" t="s">
        <v>105</v>
      </c>
      <c r="B19" s="2">
        <v>25</v>
      </c>
      <c r="C19" s="2">
        <v>60</v>
      </c>
    </row>
    <row r="20" spans="1:3" ht="12.75" x14ac:dyDescent="0.2">
      <c r="A20" s="2" t="s">
        <v>106</v>
      </c>
      <c r="B20" s="2">
        <v>35</v>
      </c>
    </row>
    <row r="21" spans="1:3" ht="12.75" x14ac:dyDescent="0.2">
      <c r="A21" s="2" t="s">
        <v>107</v>
      </c>
      <c r="B21" s="2">
        <v>60</v>
      </c>
      <c r="C21" s="2">
        <v>30</v>
      </c>
    </row>
    <row r="22" spans="1:3" ht="12.75" x14ac:dyDescent="0.2">
      <c r="A22" s="2" t="s">
        <v>105</v>
      </c>
      <c r="B22" s="2">
        <v>70</v>
      </c>
      <c r="C22" s="2">
        <v>40</v>
      </c>
    </row>
    <row r="23" spans="1:3" ht="12.75" x14ac:dyDescent="0.2">
      <c r="A23" s="2" t="s">
        <v>106</v>
      </c>
      <c r="B23" s="2">
        <v>45</v>
      </c>
      <c r="C23" s="2">
        <v>55</v>
      </c>
    </row>
    <row r="24" spans="1:3" ht="12.75" x14ac:dyDescent="0.2">
      <c r="A24" s="2" t="s">
        <v>108</v>
      </c>
      <c r="B24" s="2">
        <v>25</v>
      </c>
      <c r="C24" s="2">
        <v>70</v>
      </c>
    </row>
    <row r="25" spans="1:3" ht="12.75" x14ac:dyDescent="0.2">
      <c r="A25" s="2" t="s">
        <v>109</v>
      </c>
      <c r="B25" s="2">
        <v>35</v>
      </c>
    </row>
    <row r="26" spans="1:3" ht="12.75" x14ac:dyDescent="0.2">
      <c r="A26" s="2" t="s">
        <v>107</v>
      </c>
      <c r="B26" s="2">
        <v>60</v>
      </c>
      <c r="C26" s="2">
        <v>50</v>
      </c>
    </row>
    <row r="27" spans="1:3" ht="12.75" x14ac:dyDescent="0.2">
      <c r="A27" s="2" t="s">
        <v>106</v>
      </c>
      <c r="B27" s="2">
        <v>80</v>
      </c>
      <c r="C27" s="2">
        <v>95</v>
      </c>
    </row>
    <row r="28" spans="1:3" ht="12.75" x14ac:dyDescent="0.2">
      <c r="A28" s="2" t="s">
        <v>105</v>
      </c>
      <c r="B28" s="2">
        <v>40</v>
      </c>
      <c r="C28" s="2">
        <v>75</v>
      </c>
    </row>
    <row r="29" spans="1:3" ht="12.75" x14ac:dyDescent="0.2">
      <c r="A29" s="2" t="s">
        <v>107</v>
      </c>
      <c r="B29" s="2">
        <v>65</v>
      </c>
      <c r="C29" s="2">
        <v>45</v>
      </c>
    </row>
    <row r="30" spans="1:3" ht="12.75" x14ac:dyDescent="0.2">
      <c r="A30" s="2" t="s">
        <v>106</v>
      </c>
      <c r="B30" s="2">
        <v>55</v>
      </c>
      <c r="C30" s="2">
        <v>65</v>
      </c>
    </row>
    <row r="31" spans="1:3" ht="12.75" x14ac:dyDescent="0.2">
      <c r="A31" s="2" t="s">
        <v>108</v>
      </c>
      <c r="B31" s="2">
        <v>70</v>
      </c>
      <c r="C31" s="2">
        <v>30</v>
      </c>
    </row>
    <row r="32" spans="1:3" ht="12.75" x14ac:dyDescent="0.2">
      <c r="A32" s="2" t="s">
        <v>105</v>
      </c>
      <c r="B32" s="2">
        <v>45</v>
      </c>
    </row>
    <row r="33" spans="1:3" ht="12.75" x14ac:dyDescent="0.2">
      <c r="A33" s="2" t="s">
        <v>106</v>
      </c>
      <c r="B33" s="2">
        <v>25</v>
      </c>
      <c r="C33" s="2">
        <v>80</v>
      </c>
    </row>
    <row r="34" spans="1:3" ht="12.75" x14ac:dyDescent="0.2">
      <c r="A34" s="2" t="s">
        <v>107</v>
      </c>
      <c r="B34" s="2">
        <v>35</v>
      </c>
      <c r="C34" s="2">
        <v>60</v>
      </c>
    </row>
    <row r="35" spans="1:3" ht="12.75" x14ac:dyDescent="0.2">
      <c r="A35" s="2" t="s">
        <v>105</v>
      </c>
      <c r="B35" s="2">
        <v>60</v>
      </c>
      <c r="C35" s="2">
        <v>100</v>
      </c>
    </row>
    <row r="36" spans="1:3" ht="12.75" x14ac:dyDescent="0.2">
      <c r="A36" s="2" t="s">
        <v>106</v>
      </c>
      <c r="B36" s="2">
        <v>80</v>
      </c>
      <c r="C36" s="2">
        <v>30</v>
      </c>
    </row>
    <row r="37" spans="1:3" ht="12.75" x14ac:dyDescent="0.2">
      <c r="A37" s="2" t="s">
        <v>108</v>
      </c>
      <c r="B37" s="2">
        <v>40</v>
      </c>
    </row>
    <row r="38" spans="1:3" ht="12.75" x14ac:dyDescent="0.2">
      <c r="A38" s="2" t="s">
        <v>109</v>
      </c>
      <c r="B38" s="2">
        <v>65</v>
      </c>
      <c r="C38" s="2">
        <v>55</v>
      </c>
    </row>
    <row r="39" spans="1:3" ht="12.75" x14ac:dyDescent="0.2">
      <c r="A39" s="2" t="s">
        <v>107</v>
      </c>
      <c r="B39" s="2">
        <v>55</v>
      </c>
      <c r="C39" s="2">
        <v>70</v>
      </c>
    </row>
    <row r="40" spans="1:3" ht="12.75" x14ac:dyDescent="0.2">
      <c r="A40" s="2" t="s">
        <v>106</v>
      </c>
      <c r="B40" s="2">
        <v>70</v>
      </c>
      <c r="C40" s="2">
        <v>85</v>
      </c>
    </row>
    <row r="41" spans="1:3" ht="12.75" x14ac:dyDescent="0.2">
      <c r="A41" s="2" t="s">
        <v>105</v>
      </c>
      <c r="B41" s="2">
        <v>40</v>
      </c>
      <c r="C41" s="2">
        <v>50</v>
      </c>
    </row>
    <row r="42" spans="1:3" ht="12.75" x14ac:dyDescent="0.2">
      <c r="A42" s="2" t="s">
        <v>107</v>
      </c>
      <c r="B42" s="2">
        <v>20</v>
      </c>
      <c r="C42" s="2">
        <v>95</v>
      </c>
    </row>
    <row r="43" spans="1:3" ht="12.75" x14ac:dyDescent="0.2">
      <c r="A43" s="2" t="s">
        <v>106</v>
      </c>
      <c r="B43" s="2">
        <v>90</v>
      </c>
      <c r="C43" s="2">
        <v>75</v>
      </c>
    </row>
    <row r="44" spans="1:3" ht="12.75" x14ac:dyDescent="0.2">
      <c r="A44" s="2" t="s">
        <v>108</v>
      </c>
      <c r="B44" s="2">
        <v>50</v>
      </c>
      <c r="C44" s="2">
        <v>45</v>
      </c>
    </row>
    <row r="45" spans="1:3" ht="12.75" x14ac:dyDescent="0.2">
      <c r="A45" s="2" t="s">
        <v>105</v>
      </c>
      <c r="B45" s="2">
        <v>60</v>
      </c>
      <c r="C45" s="2">
        <v>65</v>
      </c>
    </row>
    <row r="46" spans="1:3" ht="12.75" x14ac:dyDescent="0.2">
      <c r="A46" s="2" t="s">
        <v>106</v>
      </c>
      <c r="B46" s="2">
        <v>45</v>
      </c>
    </row>
    <row r="47" spans="1:3" ht="12.75" x14ac:dyDescent="0.2">
      <c r="A47" s="2" t="s">
        <v>107</v>
      </c>
      <c r="B47" s="2">
        <v>25</v>
      </c>
    </row>
  </sheetData>
  <autoFilter ref="A1:C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Fancello</cp:lastModifiedBy>
  <dcterms:modified xsi:type="dcterms:W3CDTF">2026-04-10T19:03:44Z</dcterms:modified>
</cp:coreProperties>
</file>