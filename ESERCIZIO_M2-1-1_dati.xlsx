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3"/>
  <workbookPr/>
  <mc:AlternateContent xmlns:mc="http://schemas.openxmlformats.org/markup-compatibility/2006">
    <mc:Choice Requires="x15">
      <x15ac:absPath xmlns:x15ac="http://schemas.microsoft.com/office/spreadsheetml/2010/11/ac" url="C:\Users\ffanc\Desktop\Github\"/>
    </mc:Choice>
  </mc:AlternateContent>
  <xr:revisionPtr revIDLastSave="0" documentId="13_ncr:1_{C448073A-E978-4B3B-9B1B-35818D441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2" i="3" l="1"/>
  <c r="D2" i="2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C3" i="2"/>
  <c r="C4" i="2"/>
  <c r="C5" i="2"/>
  <c r="C6" i="2"/>
  <c r="C7" i="2"/>
  <c r="C8" i="2"/>
  <c r="C2" i="2"/>
  <c r="D2" i="1"/>
  <c r="I8" i="3"/>
  <c r="I9" i="3"/>
  <c r="I10" i="3"/>
  <c r="I11" i="3"/>
  <c r="I12" i="3"/>
  <c r="I13" i="3"/>
  <c r="I7" i="3"/>
  <c r="I3" i="3"/>
  <c r="I4" i="3"/>
  <c r="I5" i="3"/>
  <c r="I2" i="3"/>
  <c r="H13" i="3"/>
  <c r="H12" i="3"/>
  <c r="H11" i="3"/>
  <c r="H10" i="3"/>
  <c r="H9" i="3"/>
  <c r="H8" i="3"/>
  <c r="H7" i="3"/>
  <c r="H5" i="3"/>
  <c r="H4" i="3"/>
  <c r="H3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<sst xmlns="http://schemas.openxmlformats.org/spreadsheetml/2006/main" count="815" uniqueCount="576">
  <si>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</si>
  <si>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</si>
  <si>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</si>
  <si>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</si>
  <si>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</si>
  <si>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</si>
  <si>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</si>
  <si>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</si>
  <si>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</si>
  <si>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</si>
  <si>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</si>
  <si>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</si>
  <si>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</si>
  <si>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</si>
  <si>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</si>
  <si>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</si>
  <si>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</si>
  <si>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</si>
  <si>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</si>
  <si>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</si>
  <si>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</si>
  <si>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</si>
  <si>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</si>
  <si>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</si>
  <si>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</si>
  <si>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</si>
  <si>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</si>
  <si>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</si>
  <si>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</si>
  <si>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</si>
  <si>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</si>
  <si>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</si>
  <si>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</si>
  <si>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</si>
  <si>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</si>
  <si>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</si>
  <si>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</si>
  <si>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</si>
  <si>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</si>
  <si>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</si>
  <si>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</si>
  <si>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</si>
  <si>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</si>
  <si>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</si>
  <si>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</si>
  <si>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</si>
  <si>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</si>
  <si>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</si>
  <si>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</si>
  <si>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</si>
  <si>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</si>
  <si>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</si>
  <si>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</si>
  <si>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</si>
  <si>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</si>
  <si>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</si>
  <si>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</si>
  <si>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</si>
  <si>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</si>
  <si>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</si>
  <si>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</si>
  <si>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</si>
  <si>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</si>
  <si>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</si>
  <si>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</si>
  <si>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</si>
  <si>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</si>
  <si>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</si>
  <si>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</si>
  <si>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</si>
  <si>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</si>
  <si>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</si>
  <si>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</si>
  <si>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</si>
  <si>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</si>
  <si>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</si>
  <si>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</si>
  <si>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</si>
  <si>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</si>
  <si>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</si>
  <si>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</si>
  <si>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</si>
  <si>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</si>
  <si>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</si>
  <si>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</si>
  <si>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</si>
  <si>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</si>
  <si>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</si>
  <si>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</si>
  <si>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</si>
  <si>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</si>
  <si>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</si>
  <si>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</si>
  <si>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</si>
  <si>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</si>
  <si>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</si>
  <si>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</si>
  <si>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</si>
  <si>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</si>
  <si>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</si>
  <si>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</si>
  <si>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</si>
  <si>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</si>
  <si>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</si>
  <si>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</si>
  <si>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</si>
  <si>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</si>
  <si>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</si>
  <si>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</si>
  <si>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</si>
  <si>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</si>
  <si>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</si>
  <si>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</si>
  <si>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</si>
  <si>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</si>
  <si>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</si>
  <si>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</si>
  <si>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</si>
  <si>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</si>
  <si>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</si>
  <si>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</si>
  <si>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</si>
  <si>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</si>
  <si>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</si>
  <si>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</si>
  <si>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</si>
  <si>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</si>
  <si>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</si>
  <si>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</si>
  <si>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</si>
  <si>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</si>
  <si>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</si>
  <si>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</si>
  <si>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</si>
  <si>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</si>
  <si>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</si>
  <si>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</si>
  <si>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</si>
  <si>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</si>
  <si>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</si>
  <si>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</si>
  <si>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</si>
  <si>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</si>
  <si>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</si>
  <si>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</si>
  <si>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</si>
  <si>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</si>
  <si>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</si>
  <si>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</si>
  <si>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</si>
  <si>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</si>
  <si>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</si>
  <si>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</si>
  <si>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</si>
  <si>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</si>
  <si>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</si>
  <si>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</si>
  <si>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</si>
  <si>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</si>
  <si>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</si>
  <si>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</si>
  <si>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</si>
  <si>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</si>
  <si>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</si>
  <si>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</si>
  <si>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</si>
  <si>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</si>
  <si>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</si>
  <si>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</si>
  <si>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</si>
  <si>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</si>
  <si>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</si>
  <si>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</si>
  <si>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</si>
  <si>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</si>
  <si>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</si>
  <si>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</si>
  <si>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</si>
  <si>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</si>
  <si>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</si>
  <si>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</si>
  <si>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</si>
  <si>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</si>
  <si>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</si>
  <si>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</si>
  <si>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</si>
  <si>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</si>
  <si>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</si>
  <si>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</si>
  <si>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</si>
  <si>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</si>
  <si>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</si>
  <si>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</si>
  <si>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</si>
  <si>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</si>
  <si>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</si>
  <si>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</si>
  <si>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</si>
  <si>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</si>
  <si>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</si>
  <si>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</si>
  <si>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</si>
  <si>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</si>
  <si>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</si>
  <si>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</si>
  <si>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</si>
  <si>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</si>
  <si>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</si>
  <si>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</si>
  <si>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</si>
  <si>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</si>
  <si>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</si>
  <si>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</si>
  <si>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</si>
  <si>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</si>
  <si>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</si>
  <si>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</si>
  <si>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</si>
  <si>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</si>
  <si>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</si>
  <si>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</si>
  <si>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</si>
  <si>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</si>
  <si>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</si>
  <si>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</si>
  <si>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</si>
  <si>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</si>
  <si>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</si>
  <si>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</si>
  <si>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</si>
  <si>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</si>
  <si>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</si>
  <si>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</si>
  <si>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</si>
  <si>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</si>
  <si>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</si>
  <si>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</si>
  <si>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</si>
  <si>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</si>
  <si>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</si>
  <si>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</si>
  <si>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</si>
  <si>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</si>
  <si>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</si>
  <si>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</si>
  <si>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</si>
  <si>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</si>
  <si>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</si>
  <si>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</si>
  <si>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</si>
  <si>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</si>
  <si>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</si>
  <si>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</si>
  <si>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</si>
  <si>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</si>
  <si>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</si>
  <si>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</si>
  <si>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</si>
  <si>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</si>
  <si>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</si>
  <si>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</si>
  <si>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</si>
  <si>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</si>
  <si>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</si>
  <si>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</si>
  <si>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</si>
  <si>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</si>
  <si>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</si>
  <si>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</si>
  <si>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</si>
  <si>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</si>
  <si>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</si>
  <si>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</si>
  <si>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</si>
  <si>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</si>
  <si>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</si>
  <si>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</si>
  <si>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</si>
  <si>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</si>
  <si>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</si>
  <si>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</si>
  <si>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</si>
  <si>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</si>
  <si>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</si>
  <si>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</si>
  <si>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</si>
  <si>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</si>
  <si>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</si>
  <si>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</si>
  <si>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</si>
  <si>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</si>
  <si>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</si>
  <si>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</si>
  <si>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</si>
  <si>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</si>
  <si>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</si>
  <si>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</si>
  <si>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</si>
  <si>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</si>
  <si>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</si>
  <si>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</si>
  <si>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</si>
  <si>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</si>
  <si>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</si>
  <si>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</si>
  <si>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</si>
  <si>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</si>
  <si>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</si>
  <si>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</si>
  <si>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</si>
  <si>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</si>
  <si>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</si>
  <si>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</si>
  <si>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</si>
  <si>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</si>
  <si>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</si>
  <si>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</si>
  <si>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</si>
  <si>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</si>
  <si>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</si>
  <si>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</si>
  <si>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</si>
  <si>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</si>
  <si>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</si>
  <si>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</si>
  <si>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</si>
  <si>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</si>
  <si>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</si>
  <si>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</si>
  <si>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</si>
  <si>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</si>
  <si>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</si>
  <si>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</si>
  <si>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</si>
  <si>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</si>
  <si>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</si>
  <si>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</si>
  <si>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</si>
  <si>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</si>
  <si>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</si>
  <si>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</si>
  <si>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</si>
  <si>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</si>
  <si>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</si>
  <si>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</si>
  <si>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</si>
  <si>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</si>
  <si>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</si>
  <si>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</si>
  <si>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</si>
  <si>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</si>
  <si>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</si>
  <si>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</si>
  <si>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</si>
  <si>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</si>
  <si>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</si>
  <si>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</si>
  <si>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</si>
  <si>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</si>
  <si>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</si>
  <si>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</si>
  <si>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</si>
  <si>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</si>
  <si>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</si>
  <si>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</si>
  <si>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</si>
  <si>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</si>
  <si>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</si>
  <si>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</si>
  <si>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</si>
  <si>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</si>
  <si>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</si>
  <si>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</si>
  <si>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</si>
  <si>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</si>
  <si>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</si>
  <si>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</si>
  <si>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</si>
  <si>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</si>
  <si>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</si>
  <si>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</si>
  <si>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</si>
  <si>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</si>
  <si>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</si>
  <si>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</si>
  <si>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</si>
  <si>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</si>
  <si>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</si>
  <si>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</si>
  <si>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</si>
  <si>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</si>
  <si>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</si>
  <si>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</si>
  <si>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</si>
  <si>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</si>
  <si>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</si>
  <si>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</si>
  <si>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</si>
  <si>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</si>
  <si>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</si>
  <si>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</si>
  <si>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</si>
  <si>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</si>
  <si>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</si>
  <si>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</si>
  <si>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</si>
  <si>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</si>
  <si>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</si>
  <si>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</si>
  <si>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</si>
  <si>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</si>
  <si>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</si>
  <si>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</si>
  <si>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</si>
  <si>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</si>
  <si>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</si>
  <si>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</si>
  <si>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</si>
  <si>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</si>
  <si>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</si>
  <si>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</si>
  <si>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</si>
  <si>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</si>
  <si>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</si>
  <si>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</si>
  <si>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</si>
  <si>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</si>
  <si>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</si>
  <si>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</si>
  <si>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</si>
  <si>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</si>
  <si>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</si>
  <si>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</si>
  <si>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</si>
  <si>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</si>
  <si>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</si>
  <si>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</si>
  <si>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</si>
  <si>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</si>
  <si>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</si>
  <si>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</si>
  <si>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</si>
  <si>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</si>
  <si>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</si>
  <si>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</si>
  <si>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</si>
  <si>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</si>
  <si>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</si>
  <si>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</si>
  <si>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</si>
  <si>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</si>
  <si>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</si>
  <si>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</si>
  <si>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</si>
  <si>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</si>
  <si>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</si>
  <si>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</si>
  <si>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</si>
  <si>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</si>
  <si>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</si>
  <si>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</si>
  <si>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</si>
  <si>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</si>
  <si>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</si>
  <si>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</si>
  <si>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</si>
  <si>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</si>
  <si>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</si>
  <si>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</si>
  <si>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</si>
  <si>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</si>
  <si>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</si>
  <si>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</si>
  <si>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</si>
  <si>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</si>
  <si>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</si>
  <si>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</si>
  <si>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</si>
  <si>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</si>
  <si>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</si>
  <si>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</si>
  <si>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</si>
  <si>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</si>
  <si>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</si>
  <si>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</si>
  <si>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</si>
  <si>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</si>
  <si>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</si>
  <si>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</si>
  <si>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</si>
  <si>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</si>
  <si>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</si>
  <si>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</si>
  <si>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</si>
  <si>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</si>
  <si>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</si>
  <si>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</si>
  <si>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</si>
  <si>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</si>
  <si>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</si>
  <si>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</si>
  <si>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</si>
  <si>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</si>
  <si>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</si>
  <si>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</si>
  <si>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</si>
  <si>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</si>
  <si>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</si>
  <si>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</si>
  <si>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</si>
  <si>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</si>
  <si>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</si>
  <si>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</si>
  <si>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</si>
  <si>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</si>
  <si>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</si>
  <si>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</si>
  <si>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</si>
  <si>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</si>
  <si>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</si>
  <si>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</si>
  <si>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</si>
  <si>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</si>
  <si>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</si>
  <si>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</si>
  <si>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</si>
  <si>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</si>
  <si>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</si>
  <si>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</si>
  <si>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</si>
  <si>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</si>
  <si>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</si>
  <si>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</si>
  <si>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</si>
  <si>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</si>
  <si>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</si>
  <si>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</si>
  <si>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</si>
  <si>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</si>
  <si>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</si>
  <si>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</si>
  <si>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</si>
  <si>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</si>
  <si>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</si>
  <si>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</si>
  <si>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</si>
  <si>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</si>
  <si>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</si>
  <si>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</si>
  <si>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</si>
  <si>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</si>
  <si>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</si>
  <si>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</si>
  <si>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</si>
  <si>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</si>
  <si>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</si>
  <si>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</si>
  <si>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</si>
  <si>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</si>
  <si>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</si>
  <si>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</si>
  <si>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</si>
  <si>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</si>
  <si>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</si>
  <si>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</si>
  <si>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</si>
  <si>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</si>
  <si>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</si>
  <si>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</si>
  <si>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 AL 20%</t>
  </si>
  <si>
    <t>CONCATENAZIONE COLONNA A E B SEPARATE DA UNO SPAZIO</t>
  </si>
  <si>
    <t>Esito</t>
  </si>
  <si>
    <t>Respinto</t>
  </si>
  <si>
    <t>Sufficiente</t>
  </si>
  <si>
    <t>Discreto</t>
  </si>
  <si>
    <t>Buono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</si>
</sst>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9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8" fillId="0" borderId="0" xfId="0" applyFont="1"/>
    <xf numFmtId="167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1CA0E70F-D2C1-4426-B0D8-EF41AEA6B3CA}" name="Colonna1" dataDxfId="0">
      <calculatedColumnFormula array="1">_xlfn.IFS(Table_1[[#This Row],[Column2]]&lt;=39,"Respinto",Table_1[[#This Row],[Column2]]&lt;=59,"sufficiente",Table_1[[#This Row],[Column2]]&lt;=69,"discreto",Table_1[[#This Row],[Column2]]&lt;=100,"buono")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20.28515625" customWidth="1"/>
    <col min="5" max="5" width="91.42578125" bestFit="1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>
        <f>C2-(C2/1.2)</f>
        <v>46833.333333333314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>
        <f t="shared" ref="D3:D66" si="0">C3-(C3/1.2)</f>
        <v>53833.333333333314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>
        <f t="shared" si="0"/>
        <v>57333.333333333314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>
        <f t="shared" si="0"/>
        <v>60166.666666666628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86833.333333333314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87833.333333333314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104333.33333333331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109333.33333333326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111000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147000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184666.66666666663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219333.33333333326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265666.66666666651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453166.66666666651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682000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2309833.3333333321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27833.333333333314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33666.666666666657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33833.333333333314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39000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42000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43166.666666666657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44833.333333333314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45166.666666666657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48666.666666666657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48833.333333333314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51166.666666666657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73333.333333333314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81166.666666666628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94333.333333333314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133666.66666666663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263166.66666666651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11666.666666666664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17333.333333333328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21166.666666666657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27000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29833.333333333314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31000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31000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33833.333333333314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35333.333333333314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37000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40833.333333333314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41833.333333333314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42833.333333333314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44833.333333333314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52333.333333333314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54166.666666666628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57833.333333333314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61500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67000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78500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79333.333333333314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82000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88500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92000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247833.33333333326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16833.333333333328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6333.3333333333321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22833.333333333328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37000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2">C67-(C67/1.2)</f>
        <v>83500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2"/>
        <v>71333.333333333314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2"/>
        <v>93500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2"/>
        <v>263000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>
        <f t="shared" si="2"/>
        <v>5666.6666666666642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>
        <f t="shared" si="2"/>
        <v>3333.3333333333321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>
        <f t="shared" si="2"/>
        <v>3833.3333333333321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>
        <f t="shared" si="2"/>
        <v>16333.333333333328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>
        <f t="shared" si="2"/>
        <v>41833.333333333314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>
        <f t="shared" si="2"/>
        <v>2500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>
        <f t="shared" si="2"/>
        <v>2333.3333333333321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2"/>
        <v>66500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2"/>
        <v>43166.666666666657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2"/>
        <v>54000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2"/>
        <v>63000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2"/>
        <v>78166.666666666628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2"/>
        <v>92666.666666666628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2"/>
        <v>79333.333333333314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2"/>
        <v>79500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2"/>
        <v>92666.666666666628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2"/>
        <v>115833.33333333326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2"/>
        <v>213166.66666666651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>
        <f t="shared" si="2"/>
        <v>5833.3333333333321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2"/>
        <v>29166.666666666657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2"/>
        <v>45333.333333333314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2"/>
        <v>33000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2"/>
        <v>48333.333333333314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2"/>
        <v>98166.666666666628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2"/>
        <v>123833.33333333326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2"/>
        <v>45166.666666666657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2"/>
        <v>105333.33333333326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>
        <f t="shared" si="2"/>
        <v>15000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2"/>
        <v>666.66666666666652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2"/>
        <v>833.33333333333303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2"/>
        <v>6833.3333333333285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2"/>
        <v>122833.33333333326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2"/>
        <v>151666.66666666663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>
        <f t="shared" si="2"/>
        <v>40166.666666666657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2"/>
        <v>18666.666666666657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2"/>
        <v>18833.333333333328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2"/>
        <v>20166.666666666657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2"/>
        <v>26666.666666666657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2"/>
        <v>32500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2"/>
        <v>35833.333333333314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2"/>
        <v>53500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2"/>
        <v>102333.33333333331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2"/>
        <v>5000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2"/>
        <v>5666.6666666666642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2"/>
        <v>5833.3333333333321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2"/>
        <v>12833.333333333328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2"/>
        <v>120500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2"/>
        <v>123666.66666666663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2"/>
        <v>129666.66666666663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2"/>
        <v>146333.33333333326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2"/>
        <v>147166.66666666663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2"/>
        <v>152166.66666666663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2"/>
        <v>187500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>
        <f t="shared" si="2"/>
        <v>5500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>
        <f t="shared" si="2"/>
        <v>8666.6666666666642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>
        <f t="shared" ref="D131:D194" si="4">C131-(C131/1.2)</f>
        <v>16166.666666666657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4"/>
        <v>21833.333333333328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4"/>
        <v>28166.666666666657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4"/>
        <v>31666.666666666657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4"/>
        <v>31833.333333333314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4"/>
        <v>32833.333333333314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4"/>
        <v>33500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4"/>
        <v>36666.666666666657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4"/>
        <v>41666.666666666657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4"/>
        <v>42833.333333333314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4"/>
        <v>46333.333333333314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4"/>
        <v>46666.666666666657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4"/>
        <v>50000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4"/>
        <v>50833.333333333314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4"/>
        <v>55833.333333333314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4"/>
        <v>60000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4"/>
        <v>71500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4"/>
        <v>116833.33333333326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4"/>
        <v>15000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4"/>
        <v>11500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4"/>
        <v>14833.333333333328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4"/>
        <v>23000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4"/>
        <v>32666.666666666657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4"/>
        <v>54833.333333333314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4"/>
        <v>49166.666666666657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4"/>
        <v>3166.6666666666661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4"/>
        <v>4333.3333333333321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4"/>
        <v>4666.6666666666642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4"/>
        <v>9333.3333333333285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>
        <f t="shared" si="4"/>
        <v>36000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>
        <f t="shared" si="4"/>
        <v>41666.666666666657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>
        <f t="shared" si="4"/>
        <v>63666.666666666628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>
        <f t="shared" si="4"/>
        <v>87333.333333333314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>
        <f t="shared" si="4"/>
        <v>126166.66666666663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>
        <f t="shared" si="4"/>
        <v>174166.66666666663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>
        <f t="shared" si="4"/>
        <v>261333.33333333326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>
        <f t="shared" si="4"/>
        <v>19500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>
        <f t="shared" si="4"/>
        <v>26333.333333333314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>
        <f t="shared" si="4"/>
        <v>43333.333333333314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>
        <f t="shared" si="4"/>
        <v>32166.666666666657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>
        <f t="shared" si="4"/>
        <v>45000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>
        <f t="shared" si="4"/>
        <v>52333.333333333314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>
        <f t="shared" si="4"/>
        <v>149000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>
        <f t="shared" si="4"/>
        <v>173333.33333333326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>
        <f t="shared" si="4"/>
        <v>1333.333333333333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>
        <f t="shared" si="4"/>
        <v>1666.6666666666661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>
        <f t="shared" si="4"/>
        <v>4000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4"/>
        <v>1833.3333333333321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4"/>
        <v>1666.6666666666661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4"/>
        <v>4333.3333333333321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4"/>
        <v>3666.6666666666642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4"/>
        <v>10500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4"/>
        <v>10500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4"/>
        <v>4333.3333333333321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4"/>
        <v>4166.6666666666642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4"/>
        <v>4166.6666666666642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4"/>
        <v>7666.6666666666642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4"/>
        <v>6166.6666666666642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4"/>
        <v>6166.6666666666642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6">C195-(C195/1.2)</f>
        <v>1833.3333333333321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6"/>
        <v>7666.6666666666642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6"/>
        <v>3166.6666666666661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6"/>
        <v>2166.6666666666661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6"/>
        <v>4333.3333333333321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6"/>
        <v>4333.3333333333321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6"/>
        <v>3333.3333333333321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6"/>
        <v>8166.6666666666642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6"/>
        <v>5500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6"/>
        <v>11333.333333333328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6"/>
        <v>5500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6"/>
        <v>24500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6"/>
        <v>25166.666666666657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6"/>
        <v>32833.333333333314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6"/>
        <v>51666.666666666657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6"/>
        <v>45166.666666666657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6"/>
        <v>76333.333333333314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6"/>
        <v>68666.666666666628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6"/>
        <v>134500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>
        <f t="shared" si="6"/>
        <v>666.66666666666652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>
        <f t="shared" si="6"/>
        <v>13500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>
        <f t="shared" si="6"/>
        <v>20833.333333333328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>
        <f t="shared" si="6"/>
        <v>16333.333333333328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>
        <f t="shared" si="6"/>
        <v>23333.333333333328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6"/>
        <v>833.33333333333303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6"/>
        <v>1000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>
        <f t="shared" si="6"/>
        <v>1500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6"/>
        <v>1333.333333333333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>
        <f t="shared" si="6"/>
        <v>1833.3333333333321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6"/>
        <v>3500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6"/>
        <v>2333.3333333333321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6"/>
        <v>3833.3333333333321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6"/>
        <v>8500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6"/>
        <v>33000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6"/>
        <v>27833.333333333314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6"/>
        <v>15833.333333333328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6"/>
        <v>23500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6"/>
        <v>58500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6"/>
        <v>69000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6"/>
        <v>10166.666666666664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6"/>
        <v>148833.33333333326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6"/>
        <v>164166.66666666663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6"/>
        <v>49333.333333333314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6"/>
        <v>114166.66666666663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6"/>
        <v>189666.66666666663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6"/>
        <v>222333.33333333326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6"/>
        <v>5000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6"/>
        <v>5000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6"/>
        <v>67666.666666666628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6"/>
        <v>32833.333333333314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6"/>
        <v>107500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6"/>
        <v>107500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6"/>
        <v>43166.666666666657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6"/>
        <v>107666.66666666663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6"/>
        <v>43166.666666666657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6"/>
        <v>107500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6"/>
        <v>146500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6"/>
        <v>43166.666666666657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6"/>
        <v>45666.666666666657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6"/>
        <v>162500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6"/>
        <v>80000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6"/>
        <v>197833.33333333326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6"/>
        <v>138666.66666666663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8">C259-(C259/1.2)</f>
        <v>37833.333333333314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8"/>
        <v>16333.333333333328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8"/>
        <v>198333.33333333326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8"/>
        <v>50000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8"/>
        <v>401166.66666666651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8"/>
        <v>170166.66666666663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8"/>
        <v>107666.66666666663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8"/>
        <v>43166.666666666657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8"/>
        <v>32166.666666666657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8"/>
        <v>16000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8"/>
        <v>99000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8"/>
        <v>47000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8"/>
        <v>302333.33333333326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8"/>
        <v>32166.666666666657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8"/>
        <v>109000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8"/>
        <v>121500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8"/>
        <v>105333.33333333326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8"/>
        <v>40000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8"/>
        <v>159166.66666666663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8"/>
        <v>187666.66666666663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8"/>
        <v>49500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8"/>
        <v>107666.66666666663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8"/>
        <v>119000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8"/>
        <v>134500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8"/>
        <v>98500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8"/>
        <v>153000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8"/>
        <v>210833.33333333326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8"/>
        <v>42666.666666666657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8"/>
        <v>61833.333333333314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8"/>
        <v>76166.666666666628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8"/>
        <v>107000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8"/>
        <v>261833.33333333326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8"/>
        <v>126000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8"/>
        <v>261833.33333333326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8"/>
        <v>452666.66666666651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8"/>
        <v>106666.66666666663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8"/>
        <v>42500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8"/>
        <v>68833.333333333314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8"/>
        <v>60166.666666666628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8"/>
        <v>90666.666666666628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8"/>
        <v>113000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8"/>
        <v>175666.66666666663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8"/>
        <v>80333.333333333314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8"/>
        <v>120333.33333333326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8"/>
        <v>44833.333333333314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8"/>
        <v>61833.333333333314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8"/>
        <v>77000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8"/>
        <v>90166.666666666628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8"/>
        <v>108000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8"/>
        <v>107333.33333333326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8"/>
        <v>150333.33333333326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8"/>
        <v>120333.33333333326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8"/>
        <v>242833.33333333326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8"/>
        <v>297666.66666666651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8"/>
        <v>14166.666666666657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8"/>
        <v>14000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8"/>
        <v>19166.666666666657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8"/>
        <v>25333.333333333328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8"/>
        <v>13666.666666666657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8"/>
        <v>14000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8"/>
        <v>19166.666666666657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8"/>
        <v>25500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10">C323-(C323/1.2)</f>
        <v>13333.333333333328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10"/>
        <v>17000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10"/>
        <v>33000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10"/>
        <v>38833.333333333314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10"/>
        <v>46500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10"/>
        <v>49666.666666666657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10"/>
        <v>79666.666666666628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10"/>
        <v>104333.33333333331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10"/>
        <v>126166.66666666663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10"/>
        <v>188000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10"/>
        <v>254500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10"/>
        <v>689000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10"/>
        <v>1141666.666666666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10"/>
        <v>1952000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2" sqref="C2"/>
    </sheetView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20" customWidth="1"/>
    <col min="4" max="4" width="14" customWidth="1"/>
    <col min="5" max="5" width="9.28515625" customWidth="1"/>
    <col min="6" max="6" width="14.140625" customWidth="1"/>
    <col min="7" max="7" width="14.28515625" customWidth="1"/>
    <col min="8" max="8" width="8" customWidth="1"/>
    <col min="9" max="26" width="9.28515625" customWidth="1"/>
  </cols>
  <sheetData>
    <row r="1" spans="1:26" ht="12.75" customHeight="1" x14ac:dyDescent="0.2">
      <c r="A1" s="6" t="s">
        <v>484</v>
      </c>
      <c r="B1" s="6" t="s">
        <v>485</v>
      </c>
      <c r="C1" s="6" t="s">
        <v>571</v>
      </c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 t="str">
        <f>VLOOKUP(Table_1[[#This Row],[Column2]],$F$2:$G$5,2)</f>
        <v>Sufficiente</v>
      </c>
      <c r="D2" s="8" t="str" cm="1">
        <f t="array" ref="D2">_xlfn.IFS(Table_1[[#This Row],[Column2]]&lt;=39,"Respinto",Table_1[[#This Row],[Column2]]&lt;=59,"sufficiente",Table_1[[#This Row],[Column2]]&lt;=69,"discreto",Table_1[[#This Row],[Column2]]&lt;=100,"buono")</f>
        <v>sufficiente</v>
      </c>
      <c r="E2" s="8"/>
      <c r="F2" s="8">
        <v>0</v>
      </c>
      <c r="G2" s="8" t="s">
        <v>572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 t="str">
        <f>VLOOKUP(Table_1[[#This Row],[Column2]],$F$2:$G$5,2)</f>
        <v>Discreto</v>
      </c>
      <c r="D3" t="str" cm="1">
        <f t="array" ref="D3">_xlfn.IFS(Table_1[[#This Row],[Column2]]&lt;=39,"Respinto",Table_1[[#This Row],[Column2]]&lt;=59,"sufficiente",Table_1[[#This Row],[Column2]]&lt;=69,"discreto",Table_1[[#This Row],[Column2]]&lt;=100,"buono")</f>
        <v>discreto</v>
      </c>
      <c r="E3" s="8"/>
      <c r="F3" s="8">
        <v>40</v>
      </c>
      <c r="G3" s="8" t="s">
        <v>573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 t="str">
        <f>VLOOKUP(Table_1[[#This Row],[Column2]],$F$2:$G$5,2)</f>
        <v>Discreto</v>
      </c>
      <c r="D4" t="str" cm="1">
        <f t="array" ref="D4">_xlfn.IFS(Table_1[[#This Row],[Column2]]&lt;=39,"Respinto",Table_1[[#This Row],[Column2]]&lt;=59,"sufficiente",Table_1[[#This Row],[Column2]]&lt;=69,"discreto",Table_1[[#This Row],[Column2]]&lt;=100,"buono")</f>
        <v>discreto</v>
      </c>
      <c r="E4" s="8"/>
      <c r="F4" s="8">
        <v>60</v>
      </c>
      <c r="G4" s="8" t="s">
        <v>574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 t="str">
        <f>VLOOKUP(Table_1[[#This Row],[Column2]],$F$2:$G$5,2)</f>
        <v>Sufficiente</v>
      </c>
      <c r="D5" t="str" cm="1">
        <f t="array" ref="D5">_xlfn.IFS(Table_1[[#This Row],[Column2]]&lt;=39,"Respinto",Table_1[[#This Row],[Column2]]&lt;=59,"sufficiente",Table_1[[#This Row],[Column2]]&lt;=69,"discreto",Table_1[[#This Row],[Column2]]&lt;=100,"buono")</f>
        <v>sufficiente</v>
      </c>
      <c r="E5" s="8"/>
      <c r="F5" s="8">
        <v>70</v>
      </c>
      <c r="G5" s="8" t="s">
        <v>575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 t="str">
        <f>VLOOKUP(Table_1[[#This Row],[Column2]],$F$2:$G$5,2)</f>
        <v>Buono</v>
      </c>
      <c r="D6" t="str" cm="1">
        <f t="array" ref="D6">_xlfn.IFS(Table_1[[#This Row],[Column2]]&lt;=39,"Respinto",Table_1[[#This Row],[Column2]]&lt;=59,"sufficiente",Table_1[[#This Row],[Column2]]&lt;=69,"discreto",Table_1[[#This Row],[Column2]]&lt;=100,"buono")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 t="str">
        <f>VLOOKUP(Table_1[[#This Row],[Column2]],$F$2:$G$5,2)</f>
        <v>Respinto</v>
      </c>
      <c r="D7" t="str" cm="1">
        <f t="array" ref="D7">_xlfn.IFS(Table_1[[#This Row],[Column2]]&lt;=39,"Respinto",Table_1[[#This Row],[Column2]]&lt;=59,"sufficiente",Table_1[[#This Row],[Column2]]&lt;=69,"discreto",Table_1[[#This Row],[Column2]]&lt;=100,"buono")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 t="str">
        <f>VLOOKUP(Table_1[[#This Row],[Column2]],$F$2:$G$5,2)</f>
        <v>Respinto</v>
      </c>
      <c r="D8" t="str" cm="1">
        <f t="array" ref="D8">_xlfn.IFS(Table_1[[#This Row],[Column2]]&lt;=39,"Respinto",Table_1[[#This Row],[Column2]]&lt;=59,"sufficiente",Table_1[[#This Row],[Column2]]&lt;=69,"discreto",Table_1[[#This Row],[Column2]]&lt;=100,"buono")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G13" sqref="G13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8" customWidth="1"/>
    <col min="5" max="5" width="21.7109375" customWidth="1"/>
    <col min="6" max="6" width="7.28515625" customWidth="1"/>
    <col min="7" max="7" width="15.5703125" customWidth="1"/>
    <col min="8" max="8" width="15.7109375" customWidth="1"/>
    <col min="9" max="9" width="15" customWidth="1"/>
    <col min="10" max="24" width="8.7109375" customWidth="1"/>
  </cols>
  <sheetData>
    <row r="1" spans="1:24" ht="13.5" customHeight="1" x14ac:dyDescent="0.3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COUNTIF(C:C,"abbigliamento")</f>
        <v>11</v>
      </c>
      <c r="I2" s="16">
        <f>SUMIF(C:C,G2,D:D)</f>
        <v>611780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>COUNTIF(C2:C80,"alimentari")</f>
        <v>5</v>
      </c>
      <c r="I3" s="16">
        <f t="shared" ref="I3:I5" si="0">SUMIF(C:C,G3,D:D)</f>
        <v>30860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>COUNTIF(C2:C80,"personale")</f>
        <v>4</v>
      </c>
      <c r="I4" s="16">
        <f t="shared" si="0"/>
        <v>54000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>COUNTIF(C2:C80,"hardware")</f>
        <v>4</v>
      </c>
      <c r="I5" s="16">
        <f t="shared" si="0"/>
        <v>6765600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15" t="s">
        <v>501</v>
      </c>
      <c r="H7">
        <f>COUNTIF(B2:B80,"H&amp;B")</f>
        <v>2</v>
      </c>
      <c r="I7" s="16">
        <f>SUMIF(B:B,G7,D:D)</f>
        <v>73450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5" t="s">
        <v>507</v>
      </c>
      <c r="H8">
        <f>COUNTIF(B2:B80,"Allstate")</f>
        <v>1</v>
      </c>
      <c r="I8" s="16">
        <f t="shared" ref="I8:I13" si="1">SUMIF(B:B,G8,D:D)</f>
        <v>50800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15" t="s">
        <v>509</v>
      </c>
      <c r="H9">
        <f>COUNTIF(B2:B80,"Canon USA")</f>
        <v>1</v>
      </c>
      <c r="I9" s="16">
        <f t="shared" si="1"/>
        <v>98450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5" t="s">
        <v>511</v>
      </c>
      <c r="H10">
        <f>COUNTIF(B2:B80,"America online")</f>
        <v>1</v>
      </c>
      <c r="I10" s="16">
        <f t="shared" si="1"/>
        <v>7950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5" t="s">
        <v>525</v>
      </c>
      <c r="H11">
        <f>COUNTIF(B2:B80,"biobottoms")</f>
        <v>4</v>
      </c>
      <c r="I11" s="16">
        <f t="shared" si="1"/>
        <v>283000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15" t="s">
        <v>528</v>
      </c>
      <c r="H12">
        <f>COUNTIF(B2:B80,"epcot center")</f>
        <v>2</v>
      </c>
      <c r="I12" s="16">
        <f t="shared" si="1"/>
        <v>107700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15" t="s">
        <v>529</v>
      </c>
      <c r="H13">
        <f>COUNTIF(B2:B80,"biergarten")</f>
        <v>1</v>
      </c>
      <c r="I13" s="16">
        <f t="shared" si="1"/>
        <v>27270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7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7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7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G19" s="15"/>
    </row>
    <row r="20" spans="1:7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7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7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7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7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7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G25" s="15"/>
    </row>
    <row r="26" spans="1:7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7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7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7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7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7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7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Francesco Fancello</cp:lastModifiedBy>
  <dcterms:created xsi:type="dcterms:W3CDTF">2005-04-12T12:35:30Z</dcterms:created>
  <dcterms:modified xsi:type="dcterms:W3CDTF">2026-04-15T11:19:17Z</dcterms:modified>
</cp:coreProperties>
</file>